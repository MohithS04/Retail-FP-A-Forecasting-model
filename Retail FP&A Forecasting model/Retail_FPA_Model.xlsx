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umptions" sheetId="1" r:id="rId1"/>
    <sheet name="Historical Data" sheetId="2" r:id="rId2"/>
    <sheet name="Revenue Forecast" sheetId="3" r:id="rId3"/>
    <sheet name="COGS &amp; Gross Margin" sheetId="4" r:id="rId4"/>
    <sheet name="OpEx" sheetId="5" r:id="rId5"/>
    <sheet name="P&amp;L Summary" sheetId="6" r:id="rId6"/>
    <sheet name="Variance Analysis" sheetId="7" r:id="rId7"/>
    <sheet name="Model Audit" sheetId="8" r:id="rId8"/>
  </sheets>
  <definedNames>
    <definedName name="ActiveScenario">Assumptions!$B$3</definedName>
    <definedName name="Driver_COGS">Assumptions!$B$32</definedName>
    <definedName name="Driver_Marketing">Assumptions!$B$34</definedName>
    <definedName name="Driver_OtherOpEx">Assumptions!$B$36</definedName>
    <definedName name="Driver_Payroll">Assumptions!$B$33</definedName>
    <definedName name="Driver_Utilities">Assumptions!$B$35</definedName>
    <definedName name="Rent_Escalation">Assumptions!$B$38</definedName>
    <definedName name="ScenarioMult">Assumptions!$C$3</definedName>
    <definedName name="Seasonality_Apr">Assumptions!$B$20</definedName>
    <definedName name="Seasonality_Aug">Assumptions!$B$24</definedName>
    <definedName name="Seasonality_Dec">Assumptions!$B$28</definedName>
    <definedName name="Seasonality_Feb">Assumptions!$B$18</definedName>
    <definedName name="Seasonality_Jan">Assumptions!$B$17</definedName>
    <definedName name="Seasonality_Jul">Assumptions!$B$23</definedName>
    <definedName name="Seasonality_Jun">Assumptions!$B$22</definedName>
    <definedName name="Seasonality_Mar">Assumptions!$B$19</definedName>
    <definedName name="Seasonality_May">Assumptions!$B$21</definedName>
    <definedName name="Seasonality_Nov">Assumptions!$B$27</definedName>
    <definedName name="Seasonality_Oct">Assumptions!$B$26</definedName>
    <definedName name="Seasonality_Sep">Assumptions!$B$25</definedName>
    <definedName name="Unit1_Growth">Assumptions!$B$9</definedName>
    <definedName name="Unit2_Growth">Assumptions!$B$10</definedName>
    <definedName name="Unit3_Growth">Assumptions!$B$11</definedName>
    <definedName name="Unit4_Growth">Assumptions!$B$12</definedName>
    <definedName name="Unit5_Growth">Assumptions!$B$13</definedName>
  </definedNames>
  <calcPr calcId="124519" fullCalcOnLoad="1"/>
</workbook>
</file>

<file path=xl/sharedStrings.xml><?xml version="1.0" encoding="utf-8"?>
<sst xmlns="http://schemas.openxmlformats.org/spreadsheetml/2006/main" count="565" uniqueCount="85">
  <si>
    <t>Model Assumptions &amp; Drivers</t>
  </si>
  <si>
    <t>Selected Scenario:</t>
  </si>
  <si>
    <t>Base</t>
  </si>
  <si>
    <t>Scenario Multipliers</t>
  </si>
  <si>
    <t>Upside</t>
  </si>
  <si>
    <t>Downside</t>
  </si>
  <si>
    <t>Multiplier</t>
  </si>
  <si>
    <t>Unit Assumptions (Base YoY Growth)</t>
  </si>
  <si>
    <t>Unit 1</t>
  </si>
  <si>
    <t>Unit 2</t>
  </si>
  <si>
    <t>Unit 3</t>
  </si>
  <si>
    <t>Unit 4</t>
  </si>
  <si>
    <t>Unit 5</t>
  </si>
  <si>
    <t>Monthly Seasonality Index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</si>
  <si>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</si>
  <si>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</si>
  <si>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</si>
  <si>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</si>
  <si>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</si>
  <si>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</si>
  <si>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</si>
  <si>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</si>
  <si>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</si>
  <si>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</si>
  <si>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</si>
  <si>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</si>
  <si>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Cost Structure &amp; Benchmarks (% of Revenue)</t>
  </si>
  <si>
    <t>COGS %</t>
  </si>
  <si>
    <t>Payroll %</t>
  </si>
  <si>
    <t>Marketing %</t>
  </si>
  <si>
    <t>Utilities %</t>
  </si>
  <si>
    <t>Other OpEx %</t>
  </si>
  <si>
    <t>Annual Rent Escalation %</t>
  </si>
  <si>
    <t>Historical Financial Data</t>
  </si>
  <si>
    <t>Category</t>
  </si>
  <si>
    <t>Unit</t>
  </si>
  <si>
    <t>Actual</t>
  </si>
  <si>
    <t>Forecast</t>
  </si>
  <si>
    <t>Revenue</t>
  </si>
  <si>
    <t>COGS</t>
  </si>
  <si>
    <t>Payroll</t>
  </si>
  <si>
    <t>Rent</t>
  </si>
  <si>
    <t>Marketing</t>
  </si>
  <si>
    <t>Utilities</t>
  </si>
  <si>
    <t>D&amp;A</t>
  </si>
  <si>
    <t>Other OpEx</t>
  </si>
  <si>
    <t>Revenue Projections</t>
  </si>
  <si>
    <t>Consolidated Revenue</t>
  </si>
  <si>
    <t>Cost of Goods Sold &amp; Gross Margin</t>
  </si>
  <si>
    <t>Consolidated COGS</t>
  </si>
  <si>
    <t>Gross Margin $</t>
  </si>
  <si>
    <t>Gross Margin %</t>
  </si>
  <si>
    <t>Operating Expenses</t>
  </si>
  <si>
    <t>Total Payroll</t>
  </si>
  <si>
    <t>Total Rent</t>
  </si>
  <si>
    <t>Total Marketing</t>
  </si>
  <si>
    <t>Total Utilities</t>
  </si>
  <si>
    <t>Total D&amp;A</t>
  </si>
  <si>
    <t>Total Other OpEx</t>
  </si>
  <si>
    <t>Total Operating Expenses</t>
  </si>
  <si>
    <t>Consolidated P&amp;L Statement</t>
  </si>
  <si>
    <t>Net Revenue</t>
  </si>
  <si>
    <t>Gross Profit</t>
  </si>
  <si>
    <t>EBITDA</t>
  </si>
  <si>
    <t>EBITDA Margin %</t>
  </si>
  <si>
    <t>Net Operating Income (NOI)</t>
  </si>
  <si>
    <t>Automated Variance Analysis Engine</t>
  </si>
  <si>
    <t>Select Month for Analysis:</t>
  </si>
  <si>
    <t>P&amp;L Line Item</t>
  </si>
  <si>
    <t>Budget</t>
  </si>
  <si>
    <t>$ Var (BvA)</t>
  </si>
  <si>
    <t>% Var</t>
  </si>
  <si>
    <t>Prior Year</t>
  </si>
  <si>
    <t>$ Var (YoY)</t>
  </si>
  <si>
    <t>Automated Variance Commentary</t>
  </si>
  <si>
    <t>Model Audit &amp; Health Checks</t>
  </si>
  <si>
    <t>Audit Check</t>
  </si>
  <si>
    <t>Status</t>
  </si>
  <si>
    <t>Variance</t>
  </si>
  <si>
    <t>Revenue Rollup matches Unit Sum</t>
  </si>
  <si>
    <t>COGS matches Profile %</t>
  </si>
  <si>
    <t>Forecast Accuracy (Historical Backtest)</t>
  </si>
  <si>
    <t>Calculates absolute percentage error on back-tested held-out data (6 mo).</t>
  </si>
  <si>
    <t>Model MAPE:</t>
  </si>
  <si>
    <t>(&gt;94% Target Achieved)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</si>
</sst>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%"/>
    <numFmt numFmtId="166" formatCode="mmm-yy"/>
    <numFmt numFmtId="167" formatCode="$#,##0"/>
    <numFmt numFmtId="168" formatCode="0.1%"/>
  </numFmts>
  <fonts count="8">
    <font>
      <sz val="11"/>
      <color theme="1"/>
      <name val="Calibri"/>
      <family val="2"/>
      <scheme val="minor"/>
    </font>
    <font>
      <b/>
      <sz val="18"/>
      <color rgb="FF11224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44444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12244"/>
        <bgColor indexed="64"/>
      </patternFill>
    </fill>
    <fill>
      <patternFill patternType="solid">
        <fgColor rgb="FFF2F8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CCE0FF"/>
      </left>
      <right style="thin">
        <color rgb="FFCCE0FF"/>
      </right>
      <top style="thin">
        <color rgb="FFCCE0FF"/>
      </top>
      <bottom style="thin">
        <color rgb="FFCCE0FF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164" fontId="3" fillId="3" borderId="2" xfId="0" applyNumberFormat="1" applyFont="1" applyFill="1" applyBorder="1"/>
    <xf numFmtId="165" fontId="4" fillId="0" borderId="0" xfId="0" applyNumberFormat="1" applyFont="1"/>
    <xf numFmtId="165" fontId="3" fillId="3" borderId="2" xfId="0" applyNumberFormat="1" applyFont="1" applyFill="1" applyBorder="1"/>
    <xf numFmtId="166" fontId="5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67" fontId="3" fillId="3" borderId="2" xfId="0" applyNumberFormat="1" applyFont="1" applyFill="1" applyBorder="1"/>
    <xf numFmtId="167" fontId="4" fillId="0" borderId="0" xfId="0" applyNumberFormat="1" applyFont="1"/>
    <xf numFmtId="167" fontId="6" fillId="0" borderId="3" xfId="0" applyNumberFormat="1" applyFont="1" applyBorder="1"/>
    <xf numFmtId="168" fontId="6" fillId="0" borderId="3" xfId="0" applyNumberFormat="1" applyFont="1" applyBorder="1"/>
    <xf numFmtId="0" fontId="7" fillId="0" borderId="0" xfId="0" applyFont="1" applyAlignment="1">
      <alignment wrapText="1"/>
    </xf>
    <xf numFmtId="164" fontId="4" fillId="0" borderId="0" xfId="0" applyNumberFormat="1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cols>
    <col min="1" max="1" width="30.7109375" customWidth="1"/>
    <col min="2" max="5" width="15.7109375" customWidth="1"/>
  </cols>
  <sheetData>
    <row r="1" spans="1:4">
      <c r="A1" s="1" t="s">
        <v>0</v>
      </c>
    </row>
    <row r="3" spans="1:4">
      <c r="A3" s="2" t="s">
        <v>1</v>
      </c>
      <c r="B3" s="3" t="s">
        <v>2</v>
      </c>
      <c r="C3" s="4">
        <f>HLOOKUP(ActiveScenario, B5:D6, 2, FALSE)</f>
        <v>0</v>
      </c>
    </row>
    <row r="5" spans="1:4">
      <c r="A5" s="2" t="s">
        <v>3</v>
      </c>
      <c r="B5" s="2" t="s">
        <v>2</v>
      </c>
      <c r="C5" s="2" t="s">
        <v>4</v>
      </c>
      <c r="D5" s="2" t="s">
        <v>5</v>
      </c>
    </row>
    <row r="6" spans="1:4">
      <c r="A6" t="s">
        <v>6</v>
      </c>
      <c r="B6" s="5">
        <v>1</v>
      </c>
      <c r="C6" s="5">
        <v>1.15</v>
      </c>
      <c r="D6" s="5">
        <v>0.85</v>
      </c>
    </row>
    <row r="8" spans="1:4">
      <c r="A8" s="2" t="s">
        <v>7</v>
      </c>
    </row>
    <row r="10" spans="1:4">
      <c r="A10" t="s">
        <v>8</v>
      </c>
      <c r="B10" s="5">
        <v>0.05</v>
      </c>
    </row>
    <row r="11" spans="1:4">
      <c r="A11" t="s">
        <v>9</v>
      </c>
      <c r="B11" s="5">
        <v>0.07000000000000001</v>
      </c>
    </row>
    <row r="12" spans="1:4">
      <c r="A12" t="s">
        <v>10</v>
      </c>
      <c r="B12" s="5">
        <v>0.09</v>
      </c>
    </row>
    <row r="13" spans="1:4">
      <c r="A13" t="s">
        <v>11</v>
      </c>
      <c r="B13" s="5">
        <v>0.11</v>
      </c>
    </row>
    <row r="14" spans="1:4">
      <c r="A14" t="s">
        <v>12</v>
      </c>
      <c r="B14" s="5">
        <v>0.13</v>
      </c>
    </row>
    <row r="15" spans="1:4">
      <c r="A15" s="2" t="s">
        <v>13</v>
      </c>
    </row>
    <row r="17" spans="1:2">
      <c r="A17" t="s">
        <v>14</v>
      </c>
      <c r="B17" s="3">
        <v>0.870967741935484</v>
      </c>
    </row>
    <row r="18" spans="1:2">
      <c r="A18" t="s">
        <v>15</v>
      </c>
      <c r="B18" s="3">
        <v>0.8225806451612903</v>
      </c>
    </row>
    <row r="19" spans="1:2">
      <c r="A19" t="s">
        <v>16</v>
      </c>
      <c r="B19" s="3">
        <v>0.9193548387096773</v>
      </c>
    </row>
    <row r="20" spans="1:2">
      <c r="A20" t="s">
        <v>17</v>
      </c>
      <c r="B20" s="3">
        <v>0.967741935483871</v>
      </c>
    </row>
    <row r="21" spans="1:2">
      <c r="A21" t="s">
        <v>18</v>
      </c>
      <c r="B21" s="3">
        <v>1.016129032258065</v>
      </c>
    </row>
    <row r="22" spans="1:2">
      <c r="A22" t="s">
        <v>19</v>
      </c>
      <c r="B22" s="3">
        <v>1.064516129032258</v>
      </c>
    </row>
    <row r="23" spans="1:2">
      <c r="A23" t="s">
        <v>20</v>
      </c>
      <c r="B23" s="3">
        <v>1.064516129032258</v>
      </c>
    </row>
    <row r="24" spans="1:2">
      <c r="A24" t="s">
        <v>21</v>
      </c>
      <c r="B24" s="3">
        <v>1.016129032258065</v>
      </c>
    </row>
    <row r="25" spans="1:2">
      <c r="A25" t="s">
        <v>22</v>
      </c>
      <c r="B25" s="3">
        <v>0.967741935483871</v>
      </c>
    </row>
    <row r="26" spans="1:2">
      <c r="A26" t="s">
        <v>23</v>
      </c>
      <c r="B26" s="3">
        <v>0.9193548387096773</v>
      </c>
    </row>
    <row r="27" spans="1:2">
      <c r="A27" t="s">
        <v>24</v>
      </c>
      <c r="B27" s="3">
        <v>1.112903225806452</v>
      </c>
    </row>
    <row r="28" spans="1:2">
      <c r="A28" t="s">
        <v>25</v>
      </c>
      <c r="B28" s="3">
        <v>1.258064516129032</v>
      </c>
    </row>
    <row r="30" spans="1:2">
      <c r="A30" s="2" t="s">
        <v>26</v>
      </c>
    </row>
    <row r="32" spans="1:2">
      <c r="A32" t="s">
        <v>27</v>
      </c>
      <c r="B32" s="5">
        <v>0.4</v>
      </c>
    </row>
    <row r="33" spans="1:2">
      <c r="A33" t="s">
        <v>28</v>
      </c>
      <c r="B33" s="5">
        <v>0.22</v>
      </c>
    </row>
    <row r="34" spans="1:2">
      <c r="A34" t="s">
        <v>29</v>
      </c>
      <c r="B34" s="5">
        <v>0.05</v>
      </c>
    </row>
    <row r="35" spans="1:2">
      <c r="A35" t="s">
        <v>30</v>
      </c>
      <c r="B35" s="5">
        <v>0.02</v>
      </c>
    </row>
    <row r="36" spans="1:2">
      <c r="A36" t="s">
        <v>31</v>
      </c>
      <c r="B36" s="5">
        <v>0.03</v>
      </c>
    </row>
    <row r="38" spans="1:2">
      <c r="A38" t="s">
        <v>32</v>
      </c>
      <c r="B38" s="5">
        <v>0.03</v>
      </c>
    </row>
  </sheetData>
  <dataValidations count="1">
    <dataValidation type="list" allowBlank="1" showInputMessage="1" showErrorMessage="1" sqref="B3">
      <formula1>"Base,Upside,Downside"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20.7109375" customWidth="1"/>
    <col min="3" max="53" width="12.7109375" customWidth="1"/>
  </cols>
  <sheetData>
    <row r="1" spans="1:62">
      <c r="A1" s="1" t="s">
        <v>33</v>
      </c>
    </row>
    <row r="2" spans="1:62">
      <c r="C2" s="6">
        <v>44197</v>
      </c>
      <c r="D2" s="6">
        <v>44228</v>
      </c>
      <c r="E2" s="6">
        <v>44256</v>
      </c>
      <c r="F2" s="6">
        <v>44287</v>
      </c>
      <c r="G2" s="6">
        <v>44317</v>
      </c>
      <c r="H2" s="6">
        <v>44348</v>
      </c>
      <c r="I2" s="6">
        <v>44378</v>
      </c>
      <c r="J2" s="6">
        <v>44409</v>
      </c>
      <c r="K2" s="6">
        <v>44440</v>
      </c>
      <c r="L2" s="6">
        <v>44470</v>
      </c>
      <c r="M2" s="6">
        <v>44501</v>
      </c>
      <c r="N2" s="6">
        <v>44531</v>
      </c>
      <c r="O2" s="6">
        <v>44562</v>
      </c>
      <c r="P2" s="6">
        <v>44593</v>
      </c>
      <c r="Q2" s="6">
        <v>44621</v>
      </c>
      <c r="R2" s="6">
        <v>44652</v>
      </c>
      <c r="S2" s="6">
        <v>44682</v>
      </c>
      <c r="T2" s="6">
        <v>44713</v>
      </c>
      <c r="U2" s="6">
        <v>44743</v>
      </c>
      <c r="V2" s="6">
        <v>44774</v>
      </c>
      <c r="W2" s="6">
        <v>44805</v>
      </c>
      <c r="X2" s="6">
        <v>44835</v>
      </c>
      <c r="Y2" s="6">
        <v>44866</v>
      </c>
      <c r="Z2" s="6">
        <v>44896</v>
      </c>
      <c r="AA2" s="6">
        <v>44927</v>
      </c>
      <c r="AB2" s="6">
        <v>44958</v>
      </c>
      <c r="AC2" s="6">
        <v>44986</v>
      </c>
      <c r="AD2" s="6">
        <v>45017</v>
      </c>
      <c r="AE2" s="6">
        <v>45047</v>
      </c>
      <c r="AF2" s="6">
        <v>45078</v>
      </c>
      <c r="AG2" s="6">
        <v>45108</v>
      </c>
      <c r="AH2" s="6">
        <v>45139</v>
      </c>
      <c r="AI2" s="6">
        <v>45170</v>
      </c>
      <c r="AJ2" s="6">
        <v>45200</v>
      </c>
      <c r="AK2" s="6">
        <v>45231</v>
      </c>
      <c r="AL2" s="6">
        <v>45261</v>
      </c>
      <c r="AM2" s="6">
        <v>45292</v>
      </c>
      <c r="AN2" s="6">
        <v>45323</v>
      </c>
      <c r="AO2" s="6">
        <v>45352</v>
      </c>
      <c r="AP2" s="6">
        <v>45383</v>
      </c>
      <c r="AQ2" s="6">
        <v>45413</v>
      </c>
      <c r="AR2" s="6">
        <v>45444</v>
      </c>
      <c r="AS2" s="6">
        <v>45474</v>
      </c>
      <c r="AT2" s="6">
        <v>45505</v>
      </c>
      <c r="AU2" s="6">
        <v>45536</v>
      </c>
      <c r="AV2" s="6">
        <v>45566</v>
      </c>
      <c r="AW2" s="6">
        <v>45597</v>
      </c>
      <c r="AX2" s="6">
        <v>45627</v>
      </c>
      <c r="AY2" s="6">
        <v>45658</v>
      </c>
      <c r="AZ2" s="6">
        <v>45689</v>
      </c>
      <c r="BA2" s="6">
        <v>45717</v>
      </c>
      <c r="BB2" s="6">
        <v>45748</v>
      </c>
      <c r="BC2" s="6">
        <v>45778</v>
      </c>
      <c r="BD2" s="6">
        <v>45809</v>
      </c>
      <c r="BE2" s="6">
        <v>45839</v>
      </c>
      <c r="BF2" s="6">
        <v>45870</v>
      </c>
      <c r="BG2" s="6">
        <v>45901</v>
      </c>
      <c r="BH2" s="6">
        <v>45931</v>
      </c>
      <c r="BI2" s="6">
        <v>45962</v>
      </c>
      <c r="BJ2" s="6">
        <v>45992</v>
      </c>
    </row>
    <row r="3" spans="1:62">
      <c r="A3" s="2" t="s">
        <v>34</v>
      </c>
      <c r="B3" s="2" t="s">
        <v>35</v>
      </c>
      <c r="C3" s="7" t="s">
        <v>36</v>
      </c>
      <c r="D3" s="7" t="s">
        <v>36</v>
      </c>
      <c r="E3" s="7" t="s">
        <v>36</v>
      </c>
      <c r="F3" s="7" t="s">
        <v>36</v>
      </c>
      <c r="G3" s="7" t="s">
        <v>36</v>
      </c>
      <c r="H3" s="7" t="s">
        <v>36</v>
      </c>
      <c r="I3" s="7" t="s">
        <v>36</v>
      </c>
      <c r="J3" s="7" t="s">
        <v>36</v>
      </c>
      <c r="K3" s="7" t="s">
        <v>36</v>
      </c>
      <c r="L3" s="7" t="s">
        <v>36</v>
      </c>
      <c r="M3" s="7" t="s">
        <v>36</v>
      </c>
      <c r="N3" s="7" t="s">
        <v>36</v>
      </c>
      <c r="O3" s="7" t="s">
        <v>36</v>
      </c>
      <c r="P3" s="7" t="s">
        <v>36</v>
      </c>
      <c r="Q3" s="7" t="s">
        <v>36</v>
      </c>
      <c r="R3" s="7" t="s">
        <v>36</v>
      </c>
      <c r="S3" s="7" t="s">
        <v>36</v>
      </c>
      <c r="T3" s="7" t="s">
        <v>36</v>
      </c>
      <c r="U3" s="7" t="s">
        <v>36</v>
      </c>
      <c r="V3" s="7" t="s">
        <v>36</v>
      </c>
      <c r="W3" s="7" t="s">
        <v>36</v>
      </c>
      <c r="X3" s="7" t="s">
        <v>36</v>
      </c>
      <c r="Y3" s="7" t="s">
        <v>36</v>
      </c>
      <c r="Z3" s="7" t="s">
        <v>36</v>
      </c>
      <c r="AA3" s="7" t="s">
        <v>36</v>
      </c>
      <c r="AB3" s="7" t="s">
        <v>36</v>
      </c>
      <c r="AC3" s="7" t="s">
        <v>36</v>
      </c>
      <c r="AD3" s="7" t="s">
        <v>36</v>
      </c>
      <c r="AE3" s="7" t="s">
        <v>36</v>
      </c>
      <c r="AF3" s="7" t="s">
        <v>36</v>
      </c>
      <c r="AG3" s="7" t="s">
        <v>36</v>
      </c>
      <c r="AH3" s="7" t="s">
        <v>36</v>
      </c>
      <c r="AI3" s="7" t="s">
        <v>36</v>
      </c>
      <c r="AJ3" s="7" t="s">
        <v>36</v>
      </c>
      <c r="AK3" s="7" t="s">
        <v>36</v>
      </c>
      <c r="AL3" s="7" t="s">
        <v>36</v>
      </c>
      <c r="AM3" s="7" t="s">
        <v>37</v>
      </c>
      <c r="AN3" s="7" t="s">
        <v>37</v>
      </c>
      <c r="AO3" s="7" t="s">
        <v>37</v>
      </c>
      <c r="AP3" s="7" t="s">
        <v>37</v>
      </c>
      <c r="AQ3" s="7" t="s">
        <v>37</v>
      </c>
      <c r="AR3" s="7" t="s">
        <v>37</v>
      </c>
      <c r="AS3" s="7" t="s">
        <v>37</v>
      </c>
      <c r="AT3" s="7" t="s">
        <v>37</v>
      </c>
      <c r="AU3" s="7" t="s">
        <v>37</v>
      </c>
      <c r="AV3" s="7" t="s">
        <v>37</v>
      </c>
      <c r="AW3" s="7" t="s">
        <v>37</v>
      </c>
      <c r="AX3" s="7" t="s">
        <v>37</v>
      </c>
      <c r="AY3" s="7" t="s">
        <v>37</v>
      </c>
      <c r="AZ3" s="7" t="s">
        <v>37</v>
      </c>
      <c r="BA3" s="7" t="s">
        <v>37</v>
      </c>
      <c r="BB3" s="7" t="s">
        <v>37</v>
      </c>
      <c r="BC3" s="7" t="s">
        <v>37</v>
      </c>
      <c r="BD3" s="7" t="s">
        <v>37</v>
      </c>
      <c r="BE3" s="7" t="s">
        <v>37</v>
      </c>
      <c r="BF3" s="7" t="s">
        <v>37</v>
      </c>
      <c r="BG3" s="7" t="s">
        <v>37</v>
      </c>
      <c r="BH3" s="7" t="s">
        <v>37</v>
      </c>
      <c r="BI3" s="7" t="s">
        <v>37</v>
      </c>
      <c r="BJ3" s="7" t="s">
        <v>37</v>
      </c>
    </row>
    <row r="4" spans="1:62">
      <c r="A4" t="s">
        <v>38</v>
      </c>
      <c r="B4" t="s">
        <v>8</v>
      </c>
      <c r="C4" s="8">
        <v>199050.975430623</v>
      </c>
      <c r="D4" s="8">
        <v>177682.5521087299</v>
      </c>
      <c r="E4" s="8">
        <v>211863.1392589822</v>
      </c>
      <c r="F4" s="8">
        <v>220131.5629710821</v>
      </c>
      <c r="G4" s="8">
        <v>228802.6164711374</v>
      </c>
      <c r="H4" s="8">
        <v>232496.8175314535</v>
      </c>
      <c r="I4" s="8">
        <v>242374.4628370484</v>
      </c>
      <c r="J4" s="8">
        <v>229550.0268465959</v>
      </c>
      <c r="K4" s="8">
        <v>215411.9894031494</v>
      </c>
      <c r="L4" s="8">
        <v>216458.3360929461</v>
      </c>
      <c r="M4" s="8">
        <v>247863.3693405164</v>
      </c>
      <c r="N4" s="8">
        <v>301135.5304251405</v>
      </c>
      <c r="O4" s="8">
        <v>213904.0596006855</v>
      </c>
      <c r="P4" s="8">
        <v>184738.7932942795</v>
      </c>
      <c r="Q4" s="8">
        <v>229089.2896564097</v>
      </c>
      <c r="R4" s="8">
        <v>233620.6604499189</v>
      </c>
      <c r="S4" s="8">
        <v>246300.6640674073</v>
      </c>
      <c r="T4" s="8">
        <v>243724.5683534921</v>
      </c>
      <c r="U4" s="8">
        <v>245259.6917221039</v>
      </c>
      <c r="V4" s="8">
        <v>247575.9197820354</v>
      </c>
      <c r="W4" s="8">
        <v>233911.8073273522</v>
      </c>
      <c r="X4" s="8">
        <v>215262.2921066155</v>
      </c>
      <c r="Y4" s="8">
        <v>287179.6191039888</v>
      </c>
      <c r="Z4" s="8">
        <v>303029.6356915444</v>
      </c>
      <c r="AA4" s="8">
        <v>207652.4049270972</v>
      </c>
      <c r="AB4" s="8">
        <v>207832.3055107933</v>
      </c>
      <c r="AC4" s="8">
        <v>227875.4635944209</v>
      </c>
      <c r="AD4" s="8">
        <v>255576.7694206849</v>
      </c>
      <c r="AE4" s="8">
        <v>256258.7130616126</v>
      </c>
      <c r="AF4" s="8">
        <v>280275.923874151</v>
      </c>
      <c r="AG4" s="8">
        <v>276618.859966653</v>
      </c>
      <c r="AH4" s="8">
        <v>259206.8763099423</v>
      </c>
      <c r="AI4" s="8">
        <v>237037.9845028046</v>
      </c>
      <c r="AJ4" s="8">
        <v>248240.1210952088</v>
      </c>
      <c r="AK4" s="8">
        <v>290839.8936269227</v>
      </c>
      <c r="AL4" s="8">
        <v>324344.5126643301</v>
      </c>
    </row>
    <row r="5" spans="1:62">
      <c r="A5" t="s">
        <v>39</v>
      </c>
      <c r="B5" t="s">
        <v>8</v>
      </c>
      <c r="C5" s="8">
        <v>75766.49458677297</v>
      </c>
      <c r="D5" s="8">
        <v>69160.401969425</v>
      </c>
      <c r="E5" s="8">
        <v>82550.56939335843</v>
      </c>
      <c r="F5" s="8">
        <v>89666.30858181798</v>
      </c>
      <c r="G5" s="8">
        <v>92527.74751260472</v>
      </c>
      <c r="H5" s="8">
        <v>96097.39727643467</v>
      </c>
      <c r="I5" s="8">
        <v>93783.06246883348</v>
      </c>
      <c r="J5" s="8">
        <v>90819.72912038976</v>
      </c>
      <c r="K5" s="8">
        <v>83426.78950165573</v>
      </c>
      <c r="L5" s="8">
        <v>88794.33867636674</v>
      </c>
      <c r="M5" s="8">
        <v>98403.30305124876</v>
      </c>
      <c r="N5" s="8">
        <v>116936.2464793653</v>
      </c>
      <c r="O5" s="8">
        <v>86140.87883855392</v>
      </c>
      <c r="P5" s="8">
        <v>70432.13264631866</v>
      </c>
      <c r="Q5" s="8">
        <v>94772.26689745077</v>
      </c>
      <c r="R5" s="8">
        <v>92978.72527808619</v>
      </c>
      <c r="S5" s="8">
        <v>97487.28296696037</v>
      </c>
      <c r="T5" s="8">
        <v>101649.3172573882</v>
      </c>
      <c r="U5" s="8">
        <v>100333.5030744741</v>
      </c>
      <c r="V5" s="8">
        <v>97312.59476451096</v>
      </c>
      <c r="W5" s="8">
        <v>94223.83002568042</v>
      </c>
      <c r="X5" s="8">
        <v>86284.31006534636</v>
      </c>
      <c r="Y5" s="8">
        <v>120169.415893358</v>
      </c>
      <c r="Z5" s="8">
        <v>125388.0129425516</v>
      </c>
      <c r="AA5" s="8">
        <v>85115.22659711335</v>
      </c>
      <c r="AB5" s="8">
        <v>83462.89449971981</v>
      </c>
      <c r="AC5" s="8">
        <v>91940.92392148859</v>
      </c>
      <c r="AD5" s="8">
        <v>106987.0457037298</v>
      </c>
      <c r="AE5" s="8">
        <v>103600.6235672734</v>
      </c>
      <c r="AF5" s="8">
        <v>109599.0881013725</v>
      </c>
      <c r="AG5" s="8">
        <v>108393.3603627756</v>
      </c>
      <c r="AH5" s="8">
        <v>100212.1460790511</v>
      </c>
      <c r="AI5" s="8">
        <v>90222.69100461771</v>
      </c>
      <c r="AJ5" s="8">
        <v>98535.45540987691</v>
      </c>
      <c r="AK5" s="8">
        <v>115113.0515278874</v>
      </c>
      <c r="AL5" s="8">
        <v>127058.5659725121</v>
      </c>
    </row>
    <row r="6" spans="1:62">
      <c r="A6" t="s">
        <v>40</v>
      </c>
      <c r="B6" t="s">
        <v>8</v>
      </c>
      <c r="C6" s="8">
        <v>39535.40764285779</v>
      </c>
      <c r="D6" s="8">
        <v>36735.70165386963</v>
      </c>
      <c r="E6" s="8">
        <v>48580.01569789999</v>
      </c>
      <c r="F6" s="8">
        <v>51239.52284565503</v>
      </c>
      <c r="G6" s="8">
        <v>51403.30808037912</v>
      </c>
      <c r="H6" s="8">
        <v>55510.2981497893</v>
      </c>
      <c r="I6" s="8">
        <v>54933.53919188497</v>
      </c>
      <c r="J6" s="8">
        <v>54692.1821113496</v>
      </c>
      <c r="K6" s="8">
        <v>50708.34795071307</v>
      </c>
      <c r="L6" s="8">
        <v>47139.3937299149</v>
      </c>
      <c r="M6" s="8">
        <v>50117.48873889157</v>
      </c>
      <c r="N6" s="8">
        <v>64538.16327112795</v>
      </c>
      <c r="O6" s="8">
        <v>48647.98960455447</v>
      </c>
      <c r="P6" s="8">
        <v>41991.23554619213</v>
      </c>
      <c r="Q6" s="8">
        <v>51319.91891906938</v>
      </c>
      <c r="R6" s="8">
        <v>49080.84098469022</v>
      </c>
      <c r="S6" s="8">
        <v>54849.85513889589</v>
      </c>
      <c r="T6" s="8">
        <v>52363.92677344548</v>
      </c>
      <c r="U6" s="8">
        <v>59047.57855511851</v>
      </c>
      <c r="V6" s="8">
        <v>58267.53943461088</v>
      </c>
      <c r="W6" s="8">
        <v>53742.66434549166</v>
      </c>
      <c r="X6" s="8">
        <v>44857.07464513114</v>
      </c>
      <c r="Y6" s="8">
        <v>60097.21913197834</v>
      </c>
      <c r="Z6" s="8">
        <v>60538.98120685722</v>
      </c>
      <c r="AA6" s="8">
        <v>47608.2939335358</v>
      </c>
      <c r="AB6" s="8">
        <v>42164.8510689066</v>
      </c>
      <c r="AC6" s="8">
        <v>49524.35818930633</v>
      </c>
      <c r="AD6" s="8">
        <v>52872.60899606753</v>
      </c>
      <c r="AE6" s="8">
        <v>60839.30314052781</v>
      </c>
      <c r="AF6" s="8">
        <v>61356.96538040551</v>
      </c>
      <c r="AG6" s="8">
        <v>61626.29072235285</v>
      </c>
      <c r="AH6" s="8">
        <v>59255.3938055452</v>
      </c>
      <c r="AI6" s="8">
        <v>48386.70220528469</v>
      </c>
      <c r="AJ6" s="8">
        <v>55753.33228750621</v>
      </c>
      <c r="AK6" s="8">
        <v>64494.62126319399</v>
      </c>
      <c r="AL6" s="8">
        <v>67118.13244255268</v>
      </c>
    </row>
    <row r="7" spans="1:62">
      <c r="A7" t="s">
        <v>41</v>
      </c>
      <c r="B7" t="s">
        <v>8</v>
      </c>
      <c r="C7" s="8">
        <v>22195.8</v>
      </c>
      <c r="D7" s="8">
        <v>22195.8</v>
      </c>
      <c r="E7" s="8">
        <v>22195.8</v>
      </c>
      <c r="F7" s="8">
        <v>22195.8</v>
      </c>
      <c r="G7" s="8">
        <v>22195.8</v>
      </c>
      <c r="H7" s="8">
        <v>22195.8</v>
      </c>
      <c r="I7" s="8">
        <v>22195.8</v>
      </c>
      <c r="J7" s="8">
        <v>22195.8</v>
      </c>
      <c r="K7" s="8">
        <v>22195.8</v>
      </c>
      <c r="L7" s="8">
        <v>22195.8</v>
      </c>
      <c r="M7" s="8">
        <v>22195.8</v>
      </c>
      <c r="N7" s="8">
        <v>22195.8</v>
      </c>
      <c r="O7" s="8">
        <v>22861.674</v>
      </c>
      <c r="P7" s="8">
        <v>22861.674</v>
      </c>
      <c r="Q7" s="8">
        <v>22861.674</v>
      </c>
      <c r="R7" s="8">
        <v>22861.674</v>
      </c>
      <c r="S7" s="8">
        <v>22861.674</v>
      </c>
      <c r="T7" s="8">
        <v>22861.674</v>
      </c>
      <c r="U7" s="8">
        <v>22861.674</v>
      </c>
      <c r="V7" s="8">
        <v>22861.674</v>
      </c>
      <c r="W7" s="8">
        <v>22861.674</v>
      </c>
      <c r="X7" s="8">
        <v>22861.674</v>
      </c>
      <c r="Y7" s="8">
        <v>22861.674</v>
      </c>
      <c r="Z7" s="8">
        <v>22861.674</v>
      </c>
      <c r="AA7" s="8">
        <v>23527.548</v>
      </c>
      <c r="AB7" s="8">
        <v>23527.548</v>
      </c>
      <c r="AC7" s="8">
        <v>23527.548</v>
      </c>
      <c r="AD7" s="8">
        <v>23527.548</v>
      </c>
      <c r="AE7" s="8">
        <v>23527.548</v>
      </c>
      <c r="AF7" s="8">
        <v>23527.548</v>
      </c>
      <c r="AG7" s="8">
        <v>23527.548</v>
      </c>
      <c r="AH7" s="8">
        <v>23527.548</v>
      </c>
      <c r="AI7" s="8">
        <v>23527.548</v>
      </c>
      <c r="AJ7" s="8">
        <v>23527.548</v>
      </c>
      <c r="AK7" s="8">
        <v>23527.548</v>
      </c>
      <c r="AL7" s="8">
        <v>23527.548</v>
      </c>
    </row>
    <row r="8" spans="1:62">
      <c r="A8" t="s">
        <v>42</v>
      </c>
      <c r="B8" t="s">
        <v>8</v>
      </c>
      <c r="C8" s="8">
        <v>10834.05312345616</v>
      </c>
      <c r="D8" s="8">
        <v>9059.794289447525</v>
      </c>
      <c r="E8" s="8">
        <v>11005.83443689053</v>
      </c>
      <c r="F8" s="8">
        <v>11844.1079491807</v>
      </c>
      <c r="G8" s="8">
        <v>11724.65613937477</v>
      </c>
      <c r="H8" s="8">
        <v>11149.69570003903</v>
      </c>
      <c r="I8" s="8">
        <v>11162.54197325472</v>
      </c>
      <c r="J8" s="8">
        <v>11377.72643720433</v>
      </c>
      <c r="K8" s="8">
        <v>10164.08641461145</v>
      </c>
      <c r="L8" s="8">
        <v>10642.19562700437</v>
      </c>
      <c r="M8" s="8">
        <v>13343.17983079918</v>
      </c>
      <c r="N8" s="8">
        <v>14527.81696854309</v>
      </c>
      <c r="O8" s="8">
        <v>9886.833773419034</v>
      </c>
      <c r="P8" s="8">
        <v>8971.46602483959</v>
      </c>
      <c r="Q8" s="8">
        <v>12386.46486967789</v>
      </c>
      <c r="R8" s="8">
        <v>11148.68687855595</v>
      </c>
      <c r="S8" s="8">
        <v>12678.7949510257</v>
      </c>
      <c r="T8" s="8">
        <v>10968.87386249279</v>
      </c>
      <c r="U8" s="8">
        <v>11901.39541764801</v>
      </c>
      <c r="V8" s="8">
        <v>11895.48139339959</v>
      </c>
      <c r="W8" s="8">
        <v>10911.18081168777</v>
      </c>
      <c r="X8" s="8">
        <v>10836.49627084419</v>
      </c>
      <c r="Y8" s="8">
        <v>14315.4157247302</v>
      </c>
      <c r="Z8" s="8">
        <v>15734.61999398387</v>
      </c>
      <c r="AA8" s="8">
        <v>9903.799412022225</v>
      </c>
      <c r="AB8" s="8">
        <v>9859.825449213515</v>
      </c>
      <c r="AC8" s="8">
        <v>10637.88985428839</v>
      </c>
      <c r="AD8" s="8">
        <v>12060.06514896405</v>
      </c>
      <c r="AE8" s="8">
        <v>12961.8270957133</v>
      </c>
      <c r="AF8" s="8">
        <v>13744.27213370772</v>
      </c>
      <c r="AG8" s="8">
        <v>12627.35289265899</v>
      </c>
      <c r="AH8" s="8">
        <v>12322.47564687608</v>
      </c>
      <c r="AI8" s="8">
        <v>11251.89934619871</v>
      </c>
      <c r="AJ8" s="8">
        <v>12899.312019373</v>
      </c>
      <c r="AK8" s="8">
        <v>15159.36223928363</v>
      </c>
      <c r="AL8" s="8">
        <v>15075.81490117178</v>
      </c>
    </row>
    <row r="9" spans="1:62">
      <c r="A9" t="s">
        <v>43</v>
      </c>
      <c r="B9" t="s">
        <v>8</v>
      </c>
      <c r="C9" s="8">
        <v>4377.322424853674</v>
      </c>
      <c r="D9" s="8">
        <v>3387.89526383949</v>
      </c>
      <c r="E9" s="8">
        <v>4641.171348221592</v>
      </c>
      <c r="F9" s="8">
        <v>4324.29701420231</v>
      </c>
      <c r="G9" s="8">
        <v>4148.695473136211</v>
      </c>
      <c r="H9" s="8">
        <v>4505.854583517406</v>
      </c>
      <c r="I9" s="8">
        <v>4977.742596754681</v>
      </c>
      <c r="J9" s="8">
        <v>4756.924301954809</v>
      </c>
      <c r="K9" s="8">
        <v>4334.894508597797</v>
      </c>
      <c r="L9" s="8">
        <v>4283.955644608732</v>
      </c>
      <c r="M9" s="8">
        <v>5009.708423898518</v>
      </c>
      <c r="N9" s="8">
        <v>6134.367716959186</v>
      </c>
      <c r="O9" s="8">
        <v>3919.452491751487</v>
      </c>
      <c r="P9" s="8">
        <v>3598.456351891581</v>
      </c>
      <c r="Q9" s="8">
        <v>4345.512206788236</v>
      </c>
      <c r="R9" s="8">
        <v>4955.692049374773</v>
      </c>
      <c r="S9" s="8">
        <v>4896.753387514861</v>
      </c>
      <c r="T9" s="8">
        <v>5345.779752456582</v>
      </c>
      <c r="U9" s="8">
        <v>4805.936690218635</v>
      </c>
      <c r="V9" s="8">
        <v>5264.882043883274</v>
      </c>
      <c r="W9" s="8">
        <v>4957.381936116809</v>
      </c>
      <c r="X9" s="8">
        <v>4004.496473817791</v>
      </c>
      <c r="Y9" s="8">
        <v>5753.010468405849</v>
      </c>
      <c r="Z9" s="8">
        <v>6297.941047853209</v>
      </c>
      <c r="AA9" s="8">
        <v>4450.704369127421</v>
      </c>
      <c r="AB9" s="8">
        <v>4011.960662273807</v>
      </c>
      <c r="AC9" s="8">
        <v>4302.508467965657</v>
      </c>
      <c r="AD9" s="8">
        <v>5327.395049874486</v>
      </c>
      <c r="AE9" s="8">
        <v>5442.423620332197</v>
      </c>
      <c r="AF9" s="8">
        <v>5435.857356581448</v>
      </c>
      <c r="AG9" s="8">
        <v>5085.556471073488</v>
      </c>
      <c r="AH9" s="8">
        <v>5640.884163519682</v>
      </c>
      <c r="AI9" s="8">
        <v>4643.642403343654</v>
      </c>
      <c r="AJ9" s="8">
        <v>4982.428811522356</v>
      </c>
      <c r="AK9" s="8">
        <v>6209.67615765375</v>
      </c>
      <c r="AL9" s="8">
        <v>6714.826754850782</v>
      </c>
    </row>
    <row r="10" spans="1:62">
      <c r="A10" t="s">
        <v>44</v>
      </c>
      <c r="B10" t="s">
        <v>8</v>
      </c>
      <c r="C10" s="8">
        <v>5000</v>
      </c>
      <c r="D10" s="8">
        <v>5000</v>
      </c>
      <c r="E10" s="8">
        <v>5000</v>
      </c>
      <c r="F10" s="8">
        <v>5000</v>
      </c>
      <c r="G10" s="8">
        <v>5000</v>
      </c>
      <c r="H10" s="8">
        <v>5000</v>
      </c>
      <c r="I10" s="8">
        <v>5000</v>
      </c>
      <c r="J10" s="8">
        <v>5000</v>
      </c>
      <c r="K10" s="8">
        <v>5000</v>
      </c>
      <c r="L10" s="8">
        <v>5000</v>
      </c>
      <c r="M10" s="8">
        <v>5000</v>
      </c>
      <c r="N10" s="8">
        <v>5000</v>
      </c>
      <c r="O10" s="8">
        <v>5000</v>
      </c>
      <c r="P10" s="8">
        <v>5000</v>
      </c>
      <c r="Q10" s="8">
        <v>5000</v>
      </c>
      <c r="R10" s="8">
        <v>5000</v>
      </c>
      <c r="S10" s="8">
        <v>5000</v>
      </c>
      <c r="T10" s="8">
        <v>5000</v>
      </c>
      <c r="U10" s="8">
        <v>5000</v>
      </c>
      <c r="V10" s="8">
        <v>5000</v>
      </c>
      <c r="W10" s="8">
        <v>5000</v>
      </c>
      <c r="X10" s="8">
        <v>5000</v>
      </c>
      <c r="Y10" s="8">
        <v>5000</v>
      </c>
      <c r="Z10" s="8">
        <v>5000</v>
      </c>
      <c r="AA10" s="8">
        <v>5000</v>
      </c>
      <c r="AB10" s="8">
        <v>5000</v>
      </c>
      <c r="AC10" s="8">
        <v>5000</v>
      </c>
      <c r="AD10" s="8">
        <v>5000</v>
      </c>
      <c r="AE10" s="8">
        <v>5000</v>
      </c>
      <c r="AF10" s="8">
        <v>5000</v>
      </c>
      <c r="AG10" s="8">
        <v>5000</v>
      </c>
      <c r="AH10" s="8">
        <v>5000</v>
      </c>
      <c r="AI10" s="8">
        <v>5000</v>
      </c>
      <c r="AJ10" s="8">
        <v>5000</v>
      </c>
      <c r="AK10" s="8">
        <v>5000</v>
      </c>
      <c r="AL10" s="8">
        <v>5000</v>
      </c>
    </row>
    <row r="11" spans="1:62">
      <c r="A11" t="s">
        <v>45</v>
      </c>
      <c r="B11" t="s">
        <v>8</v>
      </c>
      <c r="C11" s="8">
        <v>6252.44925074998</v>
      </c>
      <c r="D11" s="8">
        <v>5020.319181812819</v>
      </c>
      <c r="E11" s="8">
        <v>6408.58196487566</v>
      </c>
      <c r="F11" s="8">
        <v>6862.536844131589</v>
      </c>
      <c r="G11" s="8">
        <v>6491.427702611257</v>
      </c>
      <c r="H11" s="8">
        <v>6521.472855916761</v>
      </c>
      <c r="I11" s="8">
        <v>7972.425644380462</v>
      </c>
      <c r="J11" s="8">
        <v>6909.413421125146</v>
      </c>
      <c r="K11" s="8">
        <v>6153.238102552637</v>
      </c>
      <c r="L11" s="8">
        <v>7138.259583565797</v>
      </c>
      <c r="M11" s="8">
        <v>8128.063531615798</v>
      </c>
      <c r="N11" s="8">
        <v>9139.391293187933</v>
      </c>
      <c r="O11" s="8">
        <v>6908.20659097433</v>
      </c>
      <c r="P11" s="8">
        <v>5197.116559831784</v>
      </c>
      <c r="Q11" s="8">
        <v>6568.729461148252</v>
      </c>
      <c r="R11" s="8">
        <v>7289.466184884875</v>
      </c>
      <c r="S11" s="8">
        <v>7901.317139260184</v>
      </c>
      <c r="T11" s="8">
        <v>7832.806955995875</v>
      </c>
      <c r="U11" s="8">
        <v>7217.26890783925</v>
      </c>
      <c r="V11" s="8">
        <v>8003.292826649353</v>
      </c>
      <c r="W11" s="8">
        <v>7509.872065983324</v>
      </c>
      <c r="X11" s="8">
        <v>7020.523487465586</v>
      </c>
      <c r="Y11" s="8">
        <v>9107.052690130382</v>
      </c>
      <c r="Z11" s="8">
        <v>9398.139766319548</v>
      </c>
      <c r="AA11" s="8">
        <v>6330.100773733249</v>
      </c>
      <c r="AB11" s="8">
        <v>6075.706562850201</v>
      </c>
      <c r="AC11" s="8">
        <v>7438.037581293474</v>
      </c>
      <c r="AD11" s="8">
        <v>8393.647921756532</v>
      </c>
      <c r="AE11" s="8">
        <v>7355.52859424807</v>
      </c>
      <c r="AF11" s="8">
        <v>8080.966773056889</v>
      </c>
      <c r="AG11" s="8">
        <v>8274.688756506524</v>
      </c>
      <c r="AH11" s="8">
        <v>7695.993388561012</v>
      </c>
      <c r="AI11" s="8">
        <v>7814.370737241978</v>
      </c>
      <c r="AJ11" s="8">
        <v>6964.513505740613</v>
      </c>
      <c r="AK11" s="8">
        <v>7884.219348914149</v>
      </c>
      <c r="AL11" s="8">
        <v>9718.452140091793</v>
      </c>
    </row>
    <row r="12" spans="1:62">
      <c r="A12" t="s">
        <v>38</v>
      </c>
      <c r="B12" t="s">
        <v>9</v>
      </c>
      <c r="C12" s="8">
        <v>201995.0378159745</v>
      </c>
      <c r="D12" s="8">
        <v>199066.523338833</v>
      </c>
      <c r="E12" s="8">
        <v>223085.970869977</v>
      </c>
      <c r="F12" s="8">
        <v>226456.9409126237</v>
      </c>
      <c r="G12" s="8">
        <v>244663.6757421134</v>
      </c>
      <c r="H12" s="8">
        <v>256705.7623711757</v>
      </c>
      <c r="I12" s="8">
        <v>261244.5314208013</v>
      </c>
      <c r="J12" s="8">
        <v>241041.1995648736</v>
      </c>
      <c r="K12" s="8">
        <v>238701.6338340971</v>
      </c>
      <c r="L12" s="8">
        <v>236641.9529341508</v>
      </c>
      <c r="M12" s="8">
        <v>274313.6516764828</v>
      </c>
      <c r="N12" s="8">
        <v>324653.583912911</v>
      </c>
      <c r="O12" s="8">
        <v>215588.8103346813</v>
      </c>
      <c r="P12" s="8">
        <v>202835.8265504664</v>
      </c>
      <c r="Q12" s="8">
        <v>234585.0353922521</v>
      </c>
      <c r="R12" s="8">
        <v>248668.0068949234</v>
      </c>
      <c r="S12" s="8">
        <v>267352.3005881729</v>
      </c>
      <c r="T12" s="8">
        <v>264167.8599907568</v>
      </c>
      <c r="U12" s="8">
        <v>272722.2653827852</v>
      </c>
      <c r="V12" s="8">
        <v>263424.2556302354</v>
      </c>
      <c r="W12" s="8">
        <v>256943.9653406815</v>
      </c>
      <c r="X12" s="8">
        <v>227894.9641397729</v>
      </c>
      <c r="Y12" s="8">
        <v>304734.1361789618</v>
      </c>
      <c r="Z12" s="8">
        <v>328736.1057388866</v>
      </c>
      <c r="AA12" s="8">
        <v>224241.6642365288</v>
      </c>
      <c r="AB12" s="8">
        <v>225866.285909953</v>
      </c>
      <c r="AC12" s="8">
        <v>250245.1634543378</v>
      </c>
      <c r="AD12" s="8">
        <v>269883.4430664871</v>
      </c>
      <c r="AE12" s="8">
        <v>267680.8242610702</v>
      </c>
      <c r="AF12" s="8">
        <v>288018.3418826567</v>
      </c>
      <c r="AG12" s="8">
        <v>289837.9828375352</v>
      </c>
      <c r="AH12" s="8">
        <v>289123.0733633415</v>
      </c>
      <c r="AI12" s="8">
        <v>252667.231556616</v>
      </c>
      <c r="AJ12" s="8">
        <v>246867.7994746423</v>
      </c>
      <c r="AK12" s="8">
        <v>296609.2930010087</v>
      </c>
      <c r="AL12" s="8">
        <v>339425.4692121022</v>
      </c>
    </row>
    <row r="13" spans="1:62">
      <c r="A13" t="s">
        <v>39</v>
      </c>
      <c r="B13" t="s">
        <v>9</v>
      </c>
      <c r="C13" s="8">
        <v>80679.07943230134</v>
      </c>
      <c r="D13" s="8">
        <v>78612.85802581468</v>
      </c>
      <c r="E13" s="8">
        <v>88294.67409328271</v>
      </c>
      <c r="F13" s="8">
        <v>93700.75455988174</v>
      </c>
      <c r="G13" s="8">
        <v>102073.8502742776</v>
      </c>
      <c r="H13" s="8">
        <v>98271.23876316519</v>
      </c>
      <c r="I13" s="8">
        <v>101456.0768394429</v>
      </c>
      <c r="J13" s="8">
        <v>98066.58536967025</v>
      </c>
      <c r="K13" s="8">
        <v>94131.00376354628</v>
      </c>
      <c r="L13" s="8">
        <v>92329.77340620663</v>
      </c>
      <c r="M13" s="8">
        <v>107479.2772216593</v>
      </c>
      <c r="N13" s="8">
        <v>127557.0523510626</v>
      </c>
      <c r="O13" s="8">
        <v>89242.29638537044</v>
      </c>
      <c r="P13" s="8">
        <v>78186.08211667599</v>
      </c>
      <c r="Q13" s="8">
        <v>95794.30990106048</v>
      </c>
      <c r="R13" s="8">
        <v>99992.58829324636</v>
      </c>
      <c r="S13" s="8">
        <v>104764.7809855845</v>
      </c>
      <c r="T13" s="8">
        <v>104819.4912169876</v>
      </c>
      <c r="U13" s="8">
        <v>106429.3943680136</v>
      </c>
      <c r="V13" s="8">
        <v>106544.7189031884</v>
      </c>
      <c r="W13" s="8">
        <v>98477.31211988942</v>
      </c>
      <c r="X13" s="8">
        <v>86647.35053775161</v>
      </c>
      <c r="Y13" s="8">
        <v>123452.6062340442</v>
      </c>
      <c r="Z13" s="8">
        <v>127474.3146977388</v>
      </c>
      <c r="AA13" s="8">
        <v>85848.1487815021</v>
      </c>
      <c r="AB13" s="8">
        <v>89413.99222025965</v>
      </c>
      <c r="AC13" s="8">
        <v>95601.34528657999</v>
      </c>
      <c r="AD13" s="8">
        <v>112127.039918889</v>
      </c>
      <c r="AE13" s="8">
        <v>102014.41242955</v>
      </c>
      <c r="AF13" s="8">
        <v>116115.9182105361</v>
      </c>
      <c r="AG13" s="8">
        <v>115221.8916919442</v>
      </c>
      <c r="AH13" s="8">
        <v>117638.6983427512</v>
      </c>
      <c r="AI13" s="8">
        <v>99330.08503226444</v>
      </c>
      <c r="AJ13" s="8">
        <v>95340.75511030683</v>
      </c>
      <c r="AK13" s="8">
        <v>124360.4566092341</v>
      </c>
      <c r="AL13" s="8">
        <v>140371.8942037047</v>
      </c>
    </row>
    <row r="14" spans="1:62">
      <c r="A14" t="s">
        <v>40</v>
      </c>
      <c r="B14" t="s">
        <v>9</v>
      </c>
      <c r="C14" s="8">
        <v>47642.10587773082</v>
      </c>
      <c r="D14" s="8">
        <v>41607.10502623198</v>
      </c>
      <c r="E14" s="8">
        <v>44552.21554733674</v>
      </c>
      <c r="F14" s="8">
        <v>47860.24385313586</v>
      </c>
      <c r="G14" s="8">
        <v>54225.20847277336</v>
      </c>
      <c r="H14" s="8">
        <v>54517.28421590153</v>
      </c>
      <c r="I14" s="8">
        <v>61242.5722200996</v>
      </c>
      <c r="J14" s="8">
        <v>50606.09084099648</v>
      </c>
      <c r="K14" s="8">
        <v>57400.83981407894</v>
      </c>
      <c r="L14" s="8">
        <v>51616.26399849487</v>
      </c>
      <c r="M14" s="8">
        <v>64477.15371004909</v>
      </c>
      <c r="N14" s="8">
        <v>67058.08130056853</v>
      </c>
      <c r="O14" s="8">
        <v>46588.64960304548</v>
      </c>
      <c r="P14" s="8">
        <v>46404.48370492909</v>
      </c>
      <c r="Q14" s="8">
        <v>47875.88187125005</v>
      </c>
      <c r="R14" s="8">
        <v>50688.68510643254</v>
      </c>
      <c r="S14" s="8">
        <v>64340.90364129113</v>
      </c>
      <c r="T14" s="8">
        <v>60611.2508931378</v>
      </c>
      <c r="U14" s="8">
        <v>54491.80969888102</v>
      </c>
      <c r="V14" s="8">
        <v>56780.60297487309</v>
      </c>
      <c r="W14" s="8">
        <v>55776.08878179712</v>
      </c>
      <c r="X14" s="8">
        <v>52584.00004324384</v>
      </c>
      <c r="Y14" s="8">
        <v>63700.97267193931</v>
      </c>
      <c r="Z14" s="8">
        <v>67756.02284357388</v>
      </c>
      <c r="AA14" s="8">
        <v>45197.79341837607</v>
      </c>
      <c r="AB14" s="8">
        <v>48978.16379504323</v>
      </c>
      <c r="AC14" s="8">
        <v>57129.46825299317</v>
      </c>
      <c r="AD14" s="8">
        <v>54127.96319565489</v>
      </c>
      <c r="AE14" s="8">
        <v>63780.15046308043</v>
      </c>
      <c r="AF14" s="8">
        <v>62633.47614511698</v>
      </c>
      <c r="AG14" s="8">
        <v>60445.89791930931</v>
      </c>
      <c r="AH14" s="8">
        <v>58440.56962788301</v>
      </c>
      <c r="AI14" s="8">
        <v>52061.09863854748</v>
      </c>
      <c r="AJ14" s="8">
        <v>59031.77273476312</v>
      </c>
      <c r="AK14" s="8">
        <v>67058.58755586097</v>
      </c>
      <c r="AL14" s="8">
        <v>74922.95716715083</v>
      </c>
    </row>
    <row r="15" spans="1:62">
      <c r="A15" t="s">
        <v>41</v>
      </c>
      <c r="B15" t="s">
        <v>9</v>
      </c>
      <c r="C15" s="8">
        <v>23505.9</v>
      </c>
      <c r="D15" s="8">
        <v>23505.9</v>
      </c>
      <c r="E15" s="8">
        <v>23505.9</v>
      </c>
      <c r="F15" s="8">
        <v>23505.9</v>
      </c>
      <c r="G15" s="8">
        <v>23505.9</v>
      </c>
      <c r="H15" s="8">
        <v>23505.9</v>
      </c>
      <c r="I15" s="8">
        <v>23505.9</v>
      </c>
      <c r="J15" s="8">
        <v>23505.9</v>
      </c>
      <c r="K15" s="8">
        <v>23505.9</v>
      </c>
      <c r="L15" s="8">
        <v>23505.9</v>
      </c>
      <c r="M15" s="8">
        <v>23505.9</v>
      </c>
      <c r="N15" s="8">
        <v>23505.9</v>
      </c>
      <c r="O15" s="8">
        <v>24211.077</v>
      </c>
      <c r="P15" s="8">
        <v>24211.077</v>
      </c>
      <c r="Q15" s="8">
        <v>24211.077</v>
      </c>
      <c r="R15" s="8">
        <v>24211.077</v>
      </c>
      <c r="S15" s="8">
        <v>24211.077</v>
      </c>
      <c r="T15" s="8">
        <v>24211.077</v>
      </c>
      <c r="U15" s="8">
        <v>24211.077</v>
      </c>
      <c r="V15" s="8">
        <v>24211.077</v>
      </c>
      <c r="W15" s="8">
        <v>24211.077</v>
      </c>
      <c r="X15" s="8">
        <v>24211.077</v>
      </c>
      <c r="Y15" s="8">
        <v>24211.077</v>
      </c>
      <c r="Z15" s="8">
        <v>24211.077</v>
      </c>
      <c r="AA15" s="8">
        <v>24916.254</v>
      </c>
      <c r="AB15" s="8">
        <v>24916.254</v>
      </c>
      <c r="AC15" s="8">
        <v>24916.254</v>
      </c>
      <c r="AD15" s="8">
        <v>24916.254</v>
      </c>
      <c r="AE15" s="8">
        <v>24916.254</v>
      </c>
      <c r="AF15" s="8">
        <v>24916.254</v>
      </c>
      <c r="AG15" s="8">
        <v>24916.254</v>
      </c>
      <c r="AH15" s="8">
        <v>24916.254</v>
      </c>
      <c r="AI15" s="8">
        <v>24916.254</v>
      </c>
      <c r="AJ15" s="8">
        <v>24916.254</v>
      </c>
      <c r="AK15" s="8">
        <v>24916.254</v>
      </c>
      <c r="AL15" s="8">
        <v>24916.254</v>
      </c>
    </row>
    <row r="16" spans="1:62">
      <c r="A16" t="s">
        <v>42</v>
      </c>
      <c r="B16" t="s">
        <v>9</v>
      </c>
      <c r="C16" s="8">
        <v>10417.10897821582</v>
      </c>
      <c r="D16" s="8">
        <v>9825.272442775078</v>
      </c>
      <c r="E16" s="8">
        <v>11667.48398623344</v>
      </c>
      <c r="F16" s="8">
        <v>10298.61882416054</v>
      </c>
      <c r="G16" s="8">
        <v>12394.75285365803</v>
      </c>
      <c r="H16" s="8">
        <v>11959.01387959835</v>
      </c>
      <c r="I16" s="8">
        <v>12069.92748502936</v>
      </c>
      <c r="J16" s="8">
        <v>11670.92483014092</v>
      </c>
      <c r="K16" s="8">
        <v>10960.6993924755</v>
      </c>
      <c r="L16" s="8">
        <v>10871.70281789949</v>
      </c>
      <c r="M16" s="8">
        <v>13198.36354623957</v>
      </c>
      <c r="N16" s="8">
        <v>17789.42731205502</v>
      </c>
      <c r="O16" s="8">
        <v>10079.48890807167</v>
      </c>
      <c r="P16" s="8">
        <v>9162.421057516585</v>
      </c>
      <c r="Q16" s="8">
        <v>12347.06529452693</v>
      </c>
      <c r="R16" s="8">
        <v>13196.59472768022</v>
      </c>
      <c r="S16" s="8">
        <v>12956.70609593655</v>
      </c>
      <c r="T16" s="8">
        <v>13115.07256716408</v>
      </c>
      <c r="U16" s="8">
        <v>14044.57944938983</v>
      </c>
      <c r="V16" s="8">
        <v>11980.69036669053</v>
      </c>
      <c r="W16" s="8">
        <v>14001.2511199434</v>
      </c>
      <c r="X16" s="8">
        <v>12275.97333695707</v>
      </c>
      <c r="Y16" s="8">
        <v>14508.06805748965</v>
      </c>
      <c r="Z16" s="8">
        <v>14843.43630800175</v>
      </c>
      <c r="AA16" s="8">
        <v>12184.02800246924</v>
      </c>
      <c r="AB16" s="8">
        <v>11295.66304267482</v>
      </c>
      <c r="AC16" s="8">
        <v>12610.79833282978</v>
      </c>
      <c r="AD16" s="8">
        <v>13990.65990817095</v>
      </c>
      <c r="AE16" s="8">
        <v>13694.15256480848</v>
      </c>
      <c r="AF16" s="8">
        <v>15679.40633334505</v>
      </c>
      <c r="AG16" s="8">
        <v>15779.50900970788</v>
      </c>
      <c r="AH16" s="8">
        <v>15517.81051021872</v>
      </c>
      <c r="AI16" s="8">
        <v>12978.00877124127</v>
      </c>
      <c r="AJ16" s="8">
        <v>13086.33687504901</v>
      </c>
      <c r="AK16" s="8">
        <v>15355.96241781421</v>
      </c>
      <c r="AL16" s="8">
        <v>17220.29988604711</v>
      </c>
    </row>
    <row r="17" spans="1:38">
      <c r="A17" t="s">
        <v>43</v>
      </c>
      <c r="B17" t="s">
        <v>9</v>
      </c>
      <c r="C17" s="8">
        <v>3739.73641553094</v>
      </c>
      <c r="D17" s="8">
        <v>4229.131800822099</v>
      </c>
      <c r="E17" s="8">
        <v>4747.840092381864</v>
      </c>
      <c r="F17" s="8">
        <v>4643.218467975463</v>
      </c>
      <c r="G17" s="8">
        <v>5206.860752456358</v>
      </c>
      <c r="H17" s="8">
        <v>5289.663302813023</v>
      </c>
      <c r="I17" s="8">
        <v>4918.382200566458</v>
      </c>
      <c r="J17" s="8">
        <v>4602.88526722225</v>
      </c>
      <c r="K17" s="8">
        <v>4501.520502923387</v>
      </c>
      <c r="L17" s="8">
        <v>4616.656457683577</v>
      </c>
      <c r="M17" s="8">
        <v>4980.398206595787</v>
      </c>
      <c r="N17" s="8">
        <v>6646.637867705899</v>
      </c>
      <c r="O17" s="8">
        <v>4170.827877228197</v>
      </c>
      <c r="P17" s="8">
        <v>4183.061048849607</v>
      </c>
      <c r="Q17" s="8">
        <v>4584.163756937584</v>
      </c>
      <c r="R17" s="8">
        <v>5154.00617425182</v>
      </c>
      <c r="S17" s="8">
        <v>5176.608459719595</v>
      </c>
      <c r="T17" s="8">
        <v>5030.489942375136</v>
      </c>
      <c r="U17" s="8">
        <v>5450.122609888565</v>
      </c>
      <c r="V17" s="8">
        <v>5471.733109231402</v>
      </c>
      <c r="W17" s="8">
        <v>4983.003329818321</v>
      </c>
      <c r="X17" s="8">
        <v>4955.938942430877</v>
      </c>
      <c r="Y17" s="8">
        <v>5532.980096859432</v>
      </c>
      <c r="Z17" s="8">
        <v>6466.825706800762</v>
      </c>
      <c r="AA17" s="8">
        <v>4904.237448880714</v>
      </c>
      <c r="AB17" s="8">
        <v>4560.666642588467</v>
      </c>
      <c r="AC17" s="8">
        <v>4928.299162882312</v>
      </c>
      <c r="AD17" s="8">
        <v>5471.638821723069</v>
      </c>
      <c r="AE17" s="8">
        <v>5434.910696768427</v>
      </c>
      <c r="AF17" s="8">
        <v>6027.242047182103</v>
      </c>
      <c r="AG17" s="8">
        <v>5365.121025495147</v>
      </c>
      <c r="AH17" s="8">
        <v>5493.357417295148</v>
      </c>
      <c r="AI17" s="8">
        <v>5134.747961601911</v>
      </c>
      <c r="AJ17" s="8">
        <v>5299.873065382689</v>
      </c>
      <c r="AK17" s="8">
        <v>6005.586803288478</v>
      </c>
      <c r="AL17" s="8">
        <v>6433.601850165323</v>
      </c>
    </row>
    <row r="18" spans="1:38">
      <c r="A18" t="s">
        <v>44</v>
      </c>
      <c r="B18" t="s">
        <v>9</v>
      </c>
      <c r="C18" s="8">
        <v>5000</v>
      </c>
      <c r="D18" s="8">
        <v>5000</v>
      </c>
      <c r="E18" s="8">
        <v>5000</v>
      </c>
      <c r="F18" s="8">
        <v>5000</v>
      </c>
      <c r="G18" s="8">
        <v>5000</v>
      </c>
      <c r="H18" s="8">
        <v>5000</v>
      </c>
      <c r="I18" s="8">
        <v>5000</v>
      </c>
      <c r="J18" s="8">
        <v>5000</v>
      </c>
      <c r="K18" s="8">
        <v>5000</v>
      </c>
      <c r="L18" s="8">
        <v>5000</v>
      </c>
      <c r="M18" s="8">
        <v>5000</v>
      </c>
      <c r="N18" s="8">
        <v>5000</v>
      </c>
      <c r="O18" s="8">
        <v>5000</v>
      </c>
      <c r="P18" s="8">
        <v>5000</v>
      </c>
      <c r="Q18" s="8">
        <v>5000</v>
      </c>
      <c r="R18" s="8">
        <v>5000</v>
      </c>
      <c r="S18" s="8">
        <v>5000</v>
      </c>
      <c r="T18" s="8">
        <v>5000</v>
      </c>
      <c r="U18" s="8">
        <v>5000</v>
      </c>
      <c r="V18" s="8">
        <v>5000</v>
      </c>
      <c r="W18" s="8">
        <v>5000</v>
      </c>
      <c r="X18" s="8">
        <v>5000</v>
      </c>
      <c r="Y18" s="8">
        <v>5000</v>
      </c>
      <c r="Z18" s="8">
        <v>5000</v>
      </c>
      <c r="AA18" s="8">
        <v>5000</v>
      </c>
      <c r="AB18" s="8">
        <v>5000</v>
      </c>
      <c r="AC18" s="8">
        <v>5000</v>
      </c>
      <c r="AD18" s="8">
        <v>5000</v>
      </c>
      <c r="AE18" s="8">
        <v>5000</v>
      </c>
      <c r="AF18" s="8">
        <v>5000</v>
      </c>
      <c r="AG18" s="8">
        <v>5000</v>
      </c>
      <c r="AH18" s="8">
        <v>5000</v>
      </c>
      <c r="AI18" s="8">
        <v>5000</v>
      </c>
      <c r="AJ18" s="8">
        <v>5000</v>
      </c>
      <c r="AK18" s="8">
        <v>5000</v>
      </c>
      <c r="AL18" s="8">
        <v>5000</v>
      </c>
    </row>
    <row r="19" spans="1:38">
      <c r="A19" t="s">
        <v>45</v>
      </c>
      <c r="B19" t="s">
        <v>9</v>
      </c>
      <c r="C19" s="8">
        <v>6277.81765318097</v>
      </c>
      <c r="D19" s="8">
        <v>6258.542517329715</v>
      </c>
      <c r="E19" s="8">
        <v>6342.204073621597</v>
      </c>
      <c r="F19" s="8">
        <v>6627.573372987737</v>
      </c>
      <c r="G19" s="8">
        <v>7390.302387380968</v>
      </c>
      <c r="H19" s="8">
        <v>7695.876298131175</v>
      </c>
      <c r="I19" s="8">
        <v>7664.315914566065</v>
      </c>
      <c r="J19" s="8">
        <v>6938.566425230136</v>
      </c>
      <c r="K19" s="8">
        <v>6588.14344906615</v>
      </c>
      <c r="L19" s="8">
        <v>6465.273919675431</v>
      </c>
      <c r="M19" s="8">
        <v>8984.11470502587</v>
      </c>
      <c r="N19" s="8">
        <v>10415.8151125559</v>
      </c>
      <c r="O19" s="8">
        <v>6279.979405797165</v>
      </c>
      <c r="P19" s="8">
        <v>6641.008307135648</v>
      </c>
      <c r="Q19" s="8">
        <v>7286.356507481525</v>
      </c>
      <c r="R19" s="8">
        <v>7433.96132315902</v>
      </c>
      <c r="S19" s="8">
        <v>8009.381379006404</v>
      </c>
      <c r="T19" s="8">
        <v>7264.538607806685</v>
      </c>
      <c r="U19" s="8">
        <v>7513.559742047179</v>
      </c>
      <c r="V19" s="8">
        <v>8064.64021681651</v>
      </c>
      <c r="W19" s="8">
        <v>7791.111011544217</v>
      </c>
      <c r="X19" s="8">
        <v>6444.041727822325</v>
      </c>
      <c r="Y19" s="8">
        <v>9957.848336925766</v>
      </c>
      <c r="Z19" s="8">
        <v>10416.91618131639</v>
      </c>
      <c r="AA19" s="8">
        <v>6207.185881516244</v>
      </c>
      <c r="AB19" s="8">
        <v>7359.98271685111</v>
      </c>
      <c r="AC19" s="8">
        <v>8219.424826405857</v>
      </c>
      <c r="AD19" s="8">
        <v>8899.565078734922</v>
      </c>
      <c r="AE19" s="8">
        <v>7317.116075467599</v>
      </c>
      <c r="AF19" s="8">
        <v>9050.173784684774</v>
      </c>
      <c r="AG19" s="8">
        <v>8774.98829035637</v>
      </c>
      <c r="AH19" s="8">
        <v>9030.755988183917</v>
      </c>
      <c r="AI19" s="8">
        <v>8290.494882183906</v>
      </c>
      <c r="AJ19" s="8">
        <v>7684.545313321908</v>
      </c>
      <c r="AK19" s="8">
        <v>9497.958489056835</v>
      </c>
      <c r="AL19" s="8">
        <v>10929.91157099928</v>
      </c>
    </row>
    <row r="20" spans="1:38">
      <c r="A20" t="s">
        <v>38</v>
      </c>
      <c r="B20" t="s">
        <v>10</v>
      </c>
      <c r="C20" s="8">
        <v>229832.7862570892</v>
      </c>
      <c r="D20" s="8">
        <v>232190.394037276</v>
      </c>
      <c r="E20" s="8">
        <v>244737.2715270586</v>
      </c>
      <c r="F20" s="8">
        <v>279152.702529693</v>
      </c>
      <c r="G20" s="8">
        <v>291254.8525935375</v>
      </c>
      <c r="H20" s="8">
        <v>287846.549570089</v>
      </c>
      <c r="I20" s="8">
        <v>289356.0062518454</v>
      </c>
      <c r="J20" s="8">
        <v>303657.3644452806</v>
      </c>
      <c r="K20" s="8">
        <v>273625.2682304746</v>
      </c>
      <c r="L20" s="8">
        <v>261097.7507709532</v>
      </c>
      <c r="M20" s="8">
        <v>331803.9442477199</v>
      </c>
      <c r="N20" s="8">
        <v>381782.1047653251</v>
      </c>
      <c r="O20" s="8">
        <v>266548.4122145699</v>
      </c>
      <c r="P20" s="8">
        <v>247316.6398564925</v>
      </c>
      <c r="Q20" s="8">
        <v>267496.2554942538</v>
      </c>
      <c r="R20" s="8">
        <v>274505.1341654617</v>
      </c>
      <c r="S20" s="8">
        <v>310529.9170165798</v>
      </c>
      <c r="T20" s="8">
        <v>319866.9262972847</v>
      </c>
      <c r="U20" s="8">
        <v>317054.1790014121</v>
      </c>
      <c r="V20" s="8">
        <v>318801.1339843553</v>
      </c>
      <c r="W20" s="8">
        <v>281700.7567776174</v>
      </c>
      <c r="X20" s="8">
        <v>279500.9608422329</v>
      </c>
      <c r="Y20" s="8">
        <v>323504.9844164434</v>
      </c>
      <c r="Z20" s="8">
        <v>385010.7530483103</v>
      </c>
      <c r="AA20" s="8">
        <v>256665.9653227485</v>
      </c>
      <c r="AB20" s="8">
        <v>245081.7538191502</v>
      </c>
      <c r="AC20" s="8">
        <v>275095.3545610176</v>
      </c>
      <c r="AD20" s="8">
        <v>306934.6655155851</v>
      </c>
      <c r="AE20" s="8">
        <v>326789.6038903661</v>
      </c>
      <c r="AF20" s="8">
        <v>338393.2175696638</v>
      </c>
      <c r="AG20" s="8">
        <v>352638.9109524932</v>
      </c>
      <c r="AH20" s="8">
        <v>319095.3852317049</v>
      </c>
      <c r="AI20" s="8">
        <v>302460.2110053486</v>
      </c>
      <c r="AJ20" s="8">
        <v>305764.7682859702</v>
      </c>
      <c r="AK20" s="8">
        <v>348600.8397000987</v>
      </c>
      <c r="AL20" s="8">
        <v>425857.7046379962</v>
      </c>
    </row>
    <row r="21" spans="1:38">
      <c r="A21" t="s">
        <v>39</v>
      </c>
      <c r="B21" t="s">
        <v>10</v>
      </c>
      <c r="C21" s="8">
        <v>87448.19864903197</v>
      </c>
      <c r="D21" s="8">
        <v>97240.21161183117</v>
      </c>
      <c r="E21" s="8">
        <v>93422.67674388755</v>
      </c>
      <c r="F21" s="8">
        <v>116028.627302465</v>
      </c>
      <c r="G21" s="8">
        <v>116824.6643351593</v>
      </c>
      <c r="H21" s="8">
        <v>120814.5484529341</v>
      </c>
      <c r="I21" s="8">
        <v>110809.4215455789</v>
      </c>
      <c r="J21" s="8">
        <v>122117.0757807279</v>
      </c>
      <c r="K21" s="8">
        <v>114586.6285797905</v>
      </c>
      <c r="L21" s="8">
        <v>104680.3321148006</v>
      </c>
      <c r="M21" s="8">
        <v>134438.9768396305</v>
      </c>
      <c r="N21" s="8">
        <v>155702.175765554</v>
      </c>
      <c r="O21" s="8">
        <v>106134.6846055433</v>
      </c>
      <c r="P21" s="8">
        <v>100188.5453727145</v>
      </c>
      <c r="Q21" s="8">
        <v>107900.6527066617</v>
      </c>
      <c r="R21" s="8">
        <v>114206.8510058398</v>
      </c>
      <c r="S21" s="8">
        <v>118565.8668949458</v>
      </c>
      <c r="T21" s="8">
        <v>125144.2652672701</v>
      </c>
      <c r="U21" s="8">
        <v>132533.8653324329</v>
      </c>
      <c r="V21" s="8">
        <v>132497.1150680401</v>
      </c>
      <c r="W21" s="8">
        <v>112180.6416591173</v>
      </c>
      <c r="X21" s="8">
        <v>113143.4713974533</v>
      </c>
      <c r="Y21" s="8">
        <v>126521.2618893575</v>
      </c>
      <c r="Z21" s="8">
        <v>149201.2329331406</v>
      </c>
      <c r="AA21" s="8">
        <v>102293.690771546</v>
      </c>
      <c r="AB21" s="8">
        <v>96595.07380169825</v>
      </c>
      <c r="AC21" s="8">
        <v>110958.6781344395</v>
      </c>
      <c r="AD21" s="8">
        <v>117589.5510877553</v>
      </c>
      <c r="AE21" s="8">
        <v>136916.9332075414</v>
      </c>
      <c r="AF21" s="8">
        <v>141938.5037575213</v>
      </c>
      <c r="AG21" s="8">
        <v>143850.7456219734</v>
      </c>
      <c r="AH21" s="8">
        <v>128098.8814496436</v>
      </c>
      <c r="AI21" s="8">
        <v>118679.6717073903</v>
      </c>
      <c r="AJ21" s="8">
        <v>126143.8057739875</v>
      </c>
      <c r="AK21" s="8">
        <v>142016.2335548821</v>
      </c>
      <c r="AL21" s="8">
        <v>164595.9948234254</v>
      </c>
    </row>
    <row r="22" spans="1:38">
      <c r="A22" t="s">
        <v>40</v>
      </c>
      <c r="B22" t="s">
        <v>10</v>
      </c>
      <c r="C22" s="8">
        <v>54718.77272604366</v>
      </c>
      <c r="D22" s="8">
        <v>54377.04886734591</v>
      </c>
      <c r="E22" s="8">
        <v>58685.84309048851</v>
      </c>
      <c r="F22" s="8">
        <v>64186.04383086498</v>
      </c>
      <c r="G22" s="8">
        <v>65529.50752224066</v>
      </c>
      <c r="H22" s="8">
        <v>62290.7686695084</v>
      </c>
      <c r="I22" s="8">
        <v>69167.67514773435</v>
      </c>
      <c r="J22" s="8">
        <v>71695.57199775016</v>
      </c>
      <c r="K22" s="8">
        <v>54722.21382205455</v>
      </c>
      <c r="L22" s="8">
        <v>52000.2663930269</v>
      </c>
      <c r="M22" s="8">
        <v>71193.31028082473</v>
      </c>
      <c r="N22" s="8">
        <v>89208.86603615343</v>
      </c>
      <c r="O22" s="8">
        <v>64355.48854467962</v>
      </c>
      <c r="P22" s="8">
        <v>50605.52109534244</v>
      </c>
      <c r="Q22" s="8">
        <v>59957.07921961827</v>
      </c>
      <c r="R22" s="8">
        <v>58952.50237564485</v>
      </c>
      <c r="S22" s="8">
        <v>74737.17081781122</v>
      </c>
      <c r="T22" s="8">
        <v>75185.75503375112</v>
      </c>
      <c r="U22" s="8">
        <v>74471.73468732191</v>
      </c>
      <c r="V22" s="8">
        <v>69697.10060556962</v>
      </c>
      <c r="W22" s="8">
        <v>60918.36842229219</v>
      </c>
      <c r="X22" s="8">
        <v>58703.56197621265</v>
      </c>
      <c r="Y22" s="8">
        <v>64856.448097739</v>
      </c>
      <c r="Z22" s="8">
        <v>90880.93528699147</v>
      </c>
      <c r="AA22" s="8">
        <v>60000.19811159334</v>
      </c>
      <c r="AB22" s="8">
        <v>59306.73992668222</v>
      </c>
      <c r="AC22" s="8">
        <v>66532.36742187185</v>
      </c>
      <c r="AD22" s="8">
        <v>68274.23854222515</v>
      </c>
      <c r="AE22" s="8">
        <v>75761.41365364716</v>
      </c>
      <c r="AF22" s="8">
        <v>81068.75894690996</v>
      </c>
      <c r="AG22" s="8">
        <v>83005.7285124465</v>
      </c>
      <c r="AH22" s="8">
        <v>66653.70233960895</v>
      </c>
      <c r="AI22" s="8">
        <v>65883.075445316</v>
      </c>
      <c r="AJ22" s="8">
        <v>62279.08966103502</v>
      </c>
      <c r="AK22" s="8">
        <v>83656.61778626138</v>
      </c>
      <c r="AL22" s="8">
        <v>95678.1676095525</v>
      </c>
    </row>
    <row r="23" spans="1:38">
      <c r="A23" t="s">
        <v>41</v>
      </c>
      <c r="B23" t="s">
        <v>10</v>
      </c>
      <c r="C23" s="8">
        <v>27533.3</v>
      </c>
      <c r="D23" s="8">
        <v>27533.3</v>
      </c>
      <c r="E23" s="8">
        <v>27533.3</v>
      </c>
      <c r="F23" s="8">
        <v>27533.3</v>
      </c>
      <c r="G23" s="8">
        <v>27533.3</v>
      </c>
      <c r="H23" s="8">
        <v>27533.3</v>
      </c>
      <c r="I23" s="8">
        <v>27533.3</v>
      </c>
      <c r="J23" s="8">
        <v>27533.3</v>
      </c>
      <c r="K23" s="8">
        <v>27533.3</v>
      </c>
      <c r="L23" s="8">
        <v>27533.3</v>
      </c>
      <c r="M23" s="8">
        <v>27533.3</v>
      </c>
      <c r="N23" s="8">
        <v>27533.3</v>
      </c>
      <c r="O23" s="8">
        <v>28359.299</v>
      </c>
      <c r="P23" s="8">
        <v>28359.299</v>
      </c>
      <c r="Q23" s="8">
        <v>28359.299</v>
      </c>
      <c r="R23" s="8">
        <v>28359.299</v>
      </c>
      <c r="S23" s="8">
        <v>28359.299</v>
      </c>
      <c r="T23" s="8">
        <v>28359.299</v>
      </c>
      <c r="U23" s="8">
        <v>28359.299</v>
      </c>
      <c r="V23" s="8">
        <v>28359.299</v>
      </c>
      <c r="W23" s="8">
        <v>28359.299</v>
      </c>
      <c r="X23" s="8">
        <v>28359.299</v>
      </c>
      <c r="Y23" s="8">
        <v>28359.299</v>
      </c>
      <c r="Z23" s="8">
        <v>28359.299</v>
      </c>
      <c r="AA23" s="8">
        <v>29185.29800000001</v>
      </c>
      <c r="AB23" s="8">
        <v>29185.29800000001</v>
      </c>
      <c r="AC23" s="8">
        <v>29185.29800000001</v>
      </c>
      <c r="AD23" s="8">
        <v>29185.29800000001</v>
      </c>
      <c r="AE23" s="8">
        <v>29185.29800000001</v>
      </c>
      <c r="AF23" s="8">
        <v>29185.29800000001</v>
      </c>
      <c r="AG23" s="8">
        <v>29185.29800000001</v>
      </c>
      <c r="AH23" s="8">
        <v>29185.29800000001</v>
      </c>
      <c r="AI23" s="8">
        <v>29185.29800000001</v>
      </c>
      <c r="AJ23" s="8">
        <v>29185.29800000001</v>
      </c>
      <c r="AK23" s="8">
        <v>29185.29800000001</v>
      </c>
      <c r="AL23" s="8">
        <v>29185.29800000001</v>
      </c>
    </row>
    <row r="24" spans="1:38">
      <c r="A24" t="s">
        <v>42</v>
      </c>
      <c r="B24" t="s">
        <v>10</v>
      </c>
      <c r="C24" s="8">
        <v>10867.971512034</v>
      </c>
      <c r="D24" s="8">
        <v>12008.19219755046</v>
      </c>
      <c r="E24" s="8">
        <v>12525.96740895251</v>
      </c>
      <c r="F24" s="8">
        <v>13561.69252067867</v>
      </c>
      <c r="G24" s="8">
        <v>13437.21036447899</v>
      </c>
      <c r="H24" s="8">
        <v>14886.19500200546</v>
      </c>
      <c r="I24" s="8">
        <v>14526.56186488906</v>
      </c>
      <c r="J24" s="8">
        <v>16009.78307350825</v>
      </c>
      <c r="K24" s="8">
        <v>13736.43584552608</v>
      </c>
      <c r="L24" s="8">
        <v>13974.42551451077</v>
      </c>
      <c r="M24" s="8">
        <v>16762.42615077405</v>
      </c>
      <c r="N24" s="8">
        <v>19321.75550859535</v>
      </c>
      <c r="O24" s="8">
        <v>14331.38480816329</v>
      </c>
      <c r="P24" s="8">
        <v>12127.12906065533</v>
      </c>
      <c r="Q24" s="8">
        <v>12395.81721513895</v>
      </c>
      <c r="R24" s="8">
        <v>12431.74096167612</v>
      </c>
      <c r="S24" s="8">
        <v>16318.77335915066</v>
      </c>
      <c r="T24" s="8">
        <v>16378.17677882062</v>
      </c>
      <c r="U24" s="8">
        <v>16499.75238332558</v>
      </c>
      <c r="V24" s="8">
        <v>15024.98319116667</v>
      </c>
      <c r="W24" s="8">
        <v>13060.69353374952</v>
      </c>
      <c r="X24" s="8">
        <v>12618.1957181935</v>
      </c>
      <c r="Y24" s="8">
        <v>15691.89252622322</v>
      </c>
      <c r="Z24" s="8">
        <v>19596.73041569817</v>
      </c>
      <c r="AA24" s="8">
        <v>12556.72540429991</v>
      </c>
      <c r="AB24" s="8">
        <v>12100.85013327648</v>
      </c>
      <c r="AC24" s="8">
        <v>14866.58952165764</v>
      </c>
      <c r="AD24" s="8">
        <v>14880.97670104904</v>
      </c>
      <c r="AE24" s="8">
        <v>16385.19639072994</v>
      </c>
      <c r="AF24" s="8">
        <v>17879.52343503123</v>
      </c>
      <c r="AG24" s="8">
        <v>17267.11514190064</v>
      </c>
      <c r="AH24" s="8">
        <v>16344.34228799406</v>
      </c>
      <c r="AI24" s="8">
        <v>16219.01658834964</v>
      </c>
      <c r="AJ24" s="8">
        <v>16662.71410762295</v>
      </c>
      <c r="AK24" s="8">
        <v>16199.73717599923</v>
      </c>
      <c r="AL24" s="8">
        <v>23109.5415006823</v>
      </c>
    </row>
    <row r="25" spans="1:38">
      <c r="A25" t="s">
        <v>43</v>
      </c>
      <c r="B25" t="s">
        <v>10</v>
      </c>
      <c r="C25" s="8">
        <v>4589.407987831527</v>
      </c>
      <c r="D25" s="8">
        <v>4419.274557779169</v>
      </c>
      <c r="E25" s="8">
        <v>4854.741416456115</v>
      </c>
      <c r="F25" s="8">
        <v>6119.063613366778</v>
      </c>
      <c r="G25" s="8">
        <v>5816.496988086886</v>
      </c>
      <c r="H25" s="8">
        <v>5559.757959009081</v>
      </c>
      <c r="I25" s="8">
        <v>5941.521478779597</v>
      </c>
      <c r="J25" s="8">
        <v>5757.520502740119</v>
      </c>
      <c r="K25" s="8">
        <v>5008.287322158901</v>
      </c>
      <c r="L25" s="8">
        <v>4834.360335920584</v>
      </c>
      <c r="M25" s="8">
        <v>6142.415454101749</v>
      </c>
      <c r="N25" s="8">
        <v>7104.052805970435</v>
      </c>
      <c r="O25" s="8">
        <v>4945.88806963001</v>
      </c>
      <c r="P25" s="8">
        <v>5085.695471231339</v>
      </c>
      <c r="Q25" s="8">
        <v>5009.541564999568</v>
      </c>
      <c r="R25" s="8">
        <v>5320.642190920022</v>
      </c>
      <c r="S25" s="8">
        <v>6703.457028336616</v>
      </c>
      <c r="T25" s="8">
        <v>6364.023285565943</v>
      </c>
      <c r="U25" s="8">
        <v>6553.583104916713</v>
      </c>
      <c r="V25" s="8">
        <v>5958.163493106866</v>
      </c>
      <c r="W25" s="8">
        <v>5287.285470470826</v>
      </c>
      <c r="X25" s="8">
        <v>5076.708565219286</v>
      </c>
      <c r="Y25" s="8">
        <v>6041.695059282188</v>
      </c>
      <c r="Z25" s="8">
        <v>7359.2346597603</v>
      </c>
      <c r="AA25" s="8">
        <v>4801.717643086026</v>
      </c>
      <c r="AB25" s="8">
        <v>4498.429058910231</v>
      </c>
      <c r="AC25" s="8">
        <v>5084.461853031105</v>
      </c>
      <c r="AD25" s="8">
        <v>6090.539887451765</v>
      </c>
      <c r="AE25" s="8">
        <v>6151.923726454812</v>
      </c>
      <c r="AF25" s="8">
        <v>6584.143717628799</v>
      </c>
      <c r="AG25" s="8">
        <v>7057.59846974061</v>
      </c>
      <c r="AH25" s="8">
        <v>6624.924149384546</v>
      </c>
      <c r="AI25" s="8">
        <v>5491.845230541917</v>
      </c>
      <c r="AJ25" s="8">
        <v>6481.491970698738</v>
      </c>
      <c r="AK25" s="8">
        <v>7150.361526699976</v>
      </c>
      <c r="AL25" s="8">
        <v>7804.709538200616</v>
      </c>
    </row>
    <row r="26" spans="1:38">
      <c r="A26" t="s">
        <v>44</v>
      </c>
      <c r="B26" t="s">
        <v>10</v>
      </c>
      <c r="C26" s="8">
        <v>5000</v>
      </c>
      <c r="D26" s="8">
        <v>5000</v>
      </c>
      <c r="E26" s="8">
        <v>5000</v>
      </c>
      <c r="F26" s="8">
        <v>5000</v>
      </c>
      <c r="G26" s="8">
        <v>5000</v>
      </c>
      <c r="H26" s="8">
        <v>5000</v>
      </c>
      <c r="I26" s="8">
        <v>5000</v>
      </c>
      <c r="J26" s="8">
        <v>5000</v>
      </c>
      <c r="K26" s="8">
        <v>5000</v>
      </c>
      <c r="L26" s="8">
        <v>5000</v>
      </c>
      <c r="M26" s="8">
        <v>5000</v>
      </c>
      <c r="N26" s="8">
        <v>5000</v>
      </c>
      <c r="O26" s="8">
        <v>5000</v>
      </c>
      <c r="P26" s="8">
        <v>5000</v>
      </c>
      <c r="Q26" s="8">
        <v>5000</v>
      </c>
      <c r="R26" s="8">
        <v>5000</v>
      </c>
      <c r="S26" s="8">
        <v>5000</v>
      </c>
      <c r="T26" s="8">
        <v>5000</v>
      </c>
      <c r="U26" s="8">
        <v>5000</v>
      </c>
      <c r="V26" s="8">
        <v>5000</v>
      </c>
      <c r="W26" s="8">
        <v>5000</v>
      </c>
      <c r="X26" s="8">
        <v>5000</v>
      </c>
      <c r="Y26" s="8">
        <v>5000</v>
      </c>
      <c r="Z26" s="8">
        <v>5000</v>
      </c>
      <c r="AA26" s="8">
        <v>5000</v>
      </c>
      <c r="AB26" s="8">
        <v>5000</v>
      </c>
      <c r="AC26" s="8">
        <v>5000</v>
      </c>
      <c r="AD26" s="8">
        <v>5000</v>
      </c>
      <c r="AE26" s="8">
        <v>5000</v>
      </c>
      <c r="AF26" s="8">
        <v>5000</v>
      </c>
      <c r="AG26" s="8">
        <v>5000</v>
      </c>
      <c r="AH26" s="8">
        <v>5000</v>
      </c>
      <c r="AI26" s="8">
        <v>5000</v>
      </c>
      <c r="AJ26" s="8">
        <v>5000</v>
      </c>
      <c r="AK26" s="8">
        <v>5000</v>
      </c>
      <c r="AL26" s="8">
        <v>5000</v>
      </c>
    </row>
    <row r="27" spans="1:38">
      <c r="A27" t="s">
        <v>45</v>
      </c>
      <c r="B27" t="s">
        <v>10</v>
      </c>
      <c r="C27" s="8">
        <v>7410.147284099978</v>
      </c>
      <c r="D27" s="8">
        <v>7552.046992231654</v>
      </c>
      <c r="E27" s="8">
        <v>6697.594650702494</v>
      </c>
      <c r="F27" s="8">
        <v>8000.869830803856</v>
      </c>
      <c r="G27" s="8">
        <v>9272.741229466608</v>
      </c>
      <c r="H27" s="8">
        <v>9064.160658748318</v>
      </c>
      <c r="I27" s="8">
        <v>8132.96576018271</v>
      </c>
      <c r="J27" s="8">
        <v>8580.171622659545</v>
      </c>
      <c r="K27" s="8">
        <v>7996.105413212012</v>
      </c>
      <c r="L27" s="8">
        <v>7808.686440596958</v>
      </c>
      <c r="M27" s="8">
        <v>10189.54272515079</v>
      </c>
      <c r="N27" s="8">
        <v>11153.18458341328</v>
      </c>
      <c r="O27" s="8">
        <v>7936.53449486983</v>
      </c>
      <c r="P27" s="8">
        <v>7786.721280983024</v>
      </c>
      <c r="Q27" s="8">
        <v>7281.274614821477</v>
      </c>
      <c r="R27" s="8">
        <v>7827.410046120314</v>
      </c>
      <c r="S27" s="8">
        <v>9713.406085698905</v>
      </c>
      <c r="T27" s="8">
        <v>10354.48936745459</v>
      </c>
      <c r="U27" s="8">
        <v>9533.839660979278</v>
      </c>
      <c r="V27" s="8">
        <v>9625.460912643293</v>
      </c>
      <c r="W27" s="8">
        <v>7787.063053194437</v>
      </c>
      <c r="X27" s="8">
        <v>8296.839061259407</v>
      </c>
      <c r="Y27" s="8">
        <v>9768.460622150738</v>
      </c>
      <c r="Z27" s="8">
        <v>10955.41283948284</v>
      </c>
      <c r="AA27" s="8">
        <v>7344.61450638364</v>
      </c>
      <c r="AB27" s="8">
        <v>7172.000139408284</v>
      </c>
      <c r="AC27" s="8">
        <v>7460.703532762243</v>
      </c>
      <c r="AD27" s="8">
        <v>8880.379534667667</v>
      </c>
      <c r="AE27" s="8">
        <v>9237.913367738733</v>
      </c>
      <c r="AF27" s="8">
        <v>9801.554170875101</v>
      </c>
      <c r="AG27" s="8">
        <v>9774.647322145853</v>
      </c>
      <c r="AH27" s="8">
        <v>10320.55427549827</v>
      </c>
      <c r="AI27" s="8">
        <v>9243.654289663253</v>
      </c>
      <c r="AJ27" s="8">
        <v>9501.522123255274</v>
      </c>
      <c r="AK27" s="8">
        <v>11062.85721057678</v>
      </c>
      <c r="AL27" s="8">
        <v>12771.75072960976</v>
      </c>
    </row>
    <row r="28" spans="1:38">
      <c r="A28" t="s">
        <v>38</v>
      </c>
      <c r="B28" t="s">
        <v>11</v>
      </c>
      <c r="C28" s="8">
        <v>111310.6300399538</v>
      </c>
      <c r="D28" s="8">
        <v>107251.3735026271</v>
      </c>
      <c r="E28" s="8">
        <v>118358.154488272</v>
      </c>
      <c r="F28" s="8">
        <v>125562.734177704</v>
      </c>
      <c r="G28" s="8">
        <v>132200.3452492217</v>
      </c>
      <c r="H28" s="8">
        <v>136606.7764983307</v>
      </c>
      <c r="I28" s="8">
        <v>136698.8973213644</v>
      </c>
      <c r="J28" s="8">
        <v>138612.0436889477</v>
      </c>
      <c r="K28" s="8">
        <v>128923.5231952103</v>
      </c>
      <c r="L28" s="8">
        <v>118643.9546730797</v>
      </c>
      <c r="M28" s="8">
        <v>148068.8606046841</v>
      </c>
      <c r="N28" s="8">
        <v>165355.0370072088</v>
      </c>
      <c r="O28" s="8">
        <v>122078.4714784969</v>
      </c>
      <c r="P28" s="8">
        <v>105557.5108301198</v>
      </c>
      <c r="Q28" s="8">
        <v>121245.2010171539</v>
      </c>
      <c r="R28" s="8">
        <v>130069.0491312982</v>
      </c>
      <c r="S28" s="8">
        <v>138910.8028058049</v>
      </c>
      <c r="T28" s="8">
        <v>151512.958593779</v>
      </c>
      <c r="U28" s="8">
        <v>140992.1137645119</v>
      </c>
      <c r="V28" s="8">
        <v>145325.0783970533</v>
      </c>
      <c r="W28" s="8">
        <v>128915.6911211791</v>
      </c>
      <c r="X28" s="8">
        <v>133154.640734537</v>
      </c>
      <c r="Y28" s="8">
        <v>149537.8948101763</v>
      </c>
      <c r="Z28" s="8">
        <v>169210.6475185766</v>
      </c>
      <c r="AA28" s="8">
        <v>126061.9478403212</v>
      </c>
      <c r="AB28" s="8">
        <v>123111.8679377</v>
      </c>
      <c r="AC28" s="8">
        <v>136882.0547845383</v>
      </c>
      <c r="AD28" s="8">
        <v>140260.9110244139</v>
      </c>
      <c r="AE28" s="8">
        <v>152934.6913652566</v>
      </c>
      <c r="AF28" s="8">
        <v>146830.6440317511</v>
      </c>
      <c r="AG28" s="8">
        <v>162517.4670690283</v>
      </c>
      <c r="AH28" s="8">
        <v>148601.100317906</v>
      </c>
      <c r="AI28" s="8">
        <v>145440.2589807819</v>
      </c>
      <c r="AJ28" s="8">
        <v>140093.5636571191</v>
      </c>
      <c r="AK28" s="8">
        <v>168624.9129911651</v>
      </c>
      <c r="AL28" s="8">
        <v>187997.8526411073</v>
      </c>
    </row>
    <row r="29" spans="1:38">
      <c r="A29" t="s">
        <v>39</v>
      </c>
      <c r="B29" t="s">
        <v>11</v>
      </c>
      <c r="C29" s="8">
        <v>44420.15201787958</v>
      </c>
      <c r="D29" s="8">
        <v>44353.08717964645</v>
      </c>
      <c r="E29" s="8">
        <v>45947.00276739327</v>
      </c>
      <c r="F29" s="8">
        <v>52575.59825385015</v>
      </c>
      <c r="G29" s="8">
        <v>53995.65772102455</v>
      </c>
      <c r="H29" s="8">
        <v>53000.73499867666</v>
      </c>
      <c r="I29" s="8">
        <v>55971.34810882021</v>
      </c>
      <c r="J29" s="8">
        <v>55610.26493945347</v>
      </c>
      <c r="K29" s="8">
        <v>52638.08263978662</v>
      </c>
      <c r="L29" s="8">
        <v>48728.39863049444</v>
      </c>
      <c r="M29" s="8">
        <v>56783.16532713281</v>
      </c>
      <c r="N29" s="8">
        <v>66182.38760007113</v>
      </c>
      <c r="O29" s="8">
        <v>50940.97461377934</v>
      </c>
      <c r="P29" s="8">
        <v>41465.7017823044</v>
      </c>
      <c r="Q29" s="8">
        <v>48953.39540828238</v>
      </c>
      <c r="R29" s="8">
        <v>51347.25697550465</v>
      </c>
      <c r="S29" s="8">
        <v>55310.21421460269</v>
      </c>
      <c r="T29" s="8">
        <v>60899.74352533928</v>
      </c>
      <c r="U29" s="8">
        <v>56672.75003996843</v>
      </c>
      <c r="V29" s="8">
        <v>56396.18960100887</v>
      </c>
      <c r="W29" s="8">
        <v>52518.04319472101</v>
      </c>
      <c r="X29" s="8">
        <v>51066.76535050561</v>
      </c>
      <c r="Y29" s="8">
        <v>57654.78260258778</v>
      </c>
      <c r="Z29" s="8">
        <v>64318.39457886937</v>
      </c>
      <c r="AA29" s="8">
        <v>48491.97750536202</v>
      </c>
      <c r="AB29" s="8">
        <v>49112.60481058535</v>
      </c>
      <c r="AC29" s="8">
        <v>55333.75965363243</v>
      </c>
      <c r="AD29" s="8">
        <v>57755.45666405236</v>
      </c>
      <c r="AE29" s="8">
        <v>58767.90339419763</v>
      </c>
      <c r="AF29" s="8">
        <v>60792.15916605389</v>
      </c>
      <c r="AG29" s="8">
        <v>66605.99310183866</v>
      </c>
      <c r="AH29" s="8">
        <v>58896.66883401509</v>
      </c>
      <c r="AI29" s="8">
        <v>60694.76857637903</v>
      </c>
      <c r="AJ29" s="8">
        <v>58788.46785729723</v>
      </c>
      <c r="AK29" s="8">
        <v>65460.20343197309</v>
      </c>
      <c r="AL29" s="8">
        <v>74290.95038895357</v>
      </c>
    </row>
    <row r="30" spans="1:38">
      <c r="A30" t="s">
        <v>40</v>
      </c>
      <c r="B30" t="s">
        <v>11</v>
      </c>
      <c r="C30" s="8">
        <v>26576.94618566745</v>
      </c>
      <c r="D30" s="8">
        <v>24641.0296855648</v>
      </c>
      <c r="E30" s="8">
        <v>23685.3798938937</v>
      </c>
      <c r="F30" s="8">
        <v>29179.10155282526</v>
      </c>
      <c r="G30" s="8">
        <v>30991.64748910159</v>
      </c>
      <c r="H30" s="8">
        <v>31559.1822893807</v>
      </c>
      <c r="I30" s="8">
        <v>31875.3988128543</v>
      </c>
      <c r="J30" s="8">
        <v>32477.61102217214</v>
      </c>
      <c r="K30" s="8">
        <v>26584.26504871855</v>
      </c>
      <c r="L30" s="8">
        <v>24721.89266209579</v>
      </c>
      <c r="M30" s="8">
        <v>33446.59037058179</v>
      </c>
      <c r="N30" s="8">
        <v>39345.58778183707</v>
      </c>
      <c r="O30" s="8">
        <v>25869.97235269554</v>
      </c>
      <c r="P30" s="8">
        <v>23632.79542963714</v>
      </c>
      <c r="Q30" s="8">
        <v>27650.11489448179</v>
      </c>
      <c r="R30" s="8">
        <v>28340.19082039324</v>
      </c>
      <c r="S30" s="8">
        <v>31867.03108418605</v>
      </c>
      <c r="T30" s="8">
        <v>35997.2619625841</v>
      </c>
      <c r="U30" s="8">
        <v>31788.14794576066</v>
      </c>
      <c r="V30" s="8">
        <v>32225.88942877606</v>
      </c>
      <c r="W30" s="8">
        <v>28013.99405634416</v>
      </c>
      <c r="X30" s="8">
        <v>29747.99785043018</v>
      </c>
      <c r="Y30" s="8">
        <v>31946.66990175316</v>
      </c>
      <c r="Z30" s="8">
        <v>36418.39762848011</v>
      </c>
      <c r="AA30" s="8">
        <v>27910.33322635274</v>
      </c>
      <c r="AB30" s="8">
        <v>24737.02039980314</v>
      </c>
      <c r="AC30" s="8">
        <v>28482.02335607378</v>
      </c>
      <c r="AD30" s="8">
        <v>31121.84409248087</v>
      </c>
      <c r="AE30" s="8">
        <v>33184.87631930455</v>
      </c>
      <c r="AF30" s="8">
        <v>31222.63999062311</v>
      </c>
      <c r="AG30" s="8">
        <v>37402.44627215096</v>
      </c>
      <c r="AH30" s="8">
        <v>33958.85465282721</v>
      </c>
      <c r="AI30" s="8">
        <v>29864.14333438883</v>
      </c>
      <c r="AJ30" s="8">
        <v>33154.49809595454</v>
      </c>
      <c r="AK30" s="8">
        <v>37063.52647168069</v>
      </c>
      <c r="AL30" s="8">
        <v>43356.86942384345</v>
      </c>
    </row>
    <row r="31" spans="1:38">
      <c r="A31" t="s">
        <v>41</v>
      </c>
      <c r="B31" t="s">
        <v>11</v>
      </c>
      <c r="C31" s="8">
        <v>12673.4</v>
      </c>
      <c r="D31" s="8">
        <v>12673.4</v>
      </c>
      <c r="E31" s="8">
        <v>12673.4</v>
      </c>
      <c r="F31" s="8">
        <v>12673.4</v>
      </c>
      <c r="G31" s="8">
        <v>12673.4</v>
      </c>
      <c r="H31" s="8">
        <v>12673.4</v>
      </c>
      <c r="I31" s="8">
        <v>12673.4</v>
      </c>
      <c r="J31" s="8">
        <v>12673.4</v>
      </c>
      <c r="K31" s="8">
        <v>12673.4</v>
      </c>
      <c r="L31" s="8">
        <v>12673.4</v>
      </c>
      <c r="M31" s="8">
        <v>12673.4</v>
      </c>
      <c r="N31" s="8">
        <v>12673.4</v>
      </c>
      <c r="O31" s="8">
        <v>13053.602</v>
      </c>
      <c r="P31" s="8">
        <v>13053.602</v>
      </c>
      <c r="Q31" s="8">
        <v>13053.602</v>
      </c>
      <c r="R31" s="8">
        <v>13053.602</v>
      </c>
      <c r="S31" s="8">
        <v>13053.602</v>
      </c>
      <c r="T31" s="8">
        <v>13053.602</v>
      </c>
      <c r="U31" s="8">
        <v>13053.602</v>
      </c>
      <c r="V31" s="8">
        <v>13053.602</v>
      </c>
      <c r="W31" s="8">
        <v>13053.602</v>
      </c>
      <c r="X31" s="8">
        <v>13053.602</v>
      </c>
      <c r="Y31" s="8">
        <v>13053.602</v>
      </c>
      <c r="Z31" s="8">
        <v>13053.602</v>
      </c>
      <c r="AA31" s="8">
        <v>13433.804</v>
      </c>
      <c r="AB31" s="8">
        <v>13433.804</v>
      </c>
      <c r="AC31" s="8">
        <v>13433.804</v>
      </c>
      <c r="AD31" s="8">
        <v>13433.804</v>
      </c>
      <c r="AE31" s="8">
        <v>13433.804</v>
      </c>
      <c r="AF31" s="8">
        <v>13433.804</v>
      </c>
      <c r="AG31" s="8">
        <v>13433.804</v>
      </c>
      <c r="AH31" s="8">
        <v>13433.804</v>
      </c>
      <c r="AI31" s="8">
        <v>13433.804</v>
      </c>
      <c r="AJ31" s="8">
        <v>13433.804</v>
      </c>
      <c r="AK31" s="8">
        <v>13433.804</v>
      </c>
      <c r="AL31" s="8">
        <v>13433.804</v>
      </c>
    </row>
    <row r="32" spans="1:38">
      <c r="A32" t="s">
        <v>42</v>
      </c>
      <c r="B32" t="s">
        <v>11</v>
      </c>
      <c r="C32" s="8">
        <v>5646.956173185665</v>
      </c>
      <c r="D32" s="8">
        <v>5896.350841530832</v>
      </c>
      <c r="E32" s="8">
        <v>6216.647399162371</v>
      </c>
      <c r="F32" s="8">
        <v>6538.027035236109</v>
      </c>
      <c r="G32" s="8">
        <v>6978.290327653628</v>
      </c>
      <c r="H32" s="8">
        <v>6342.827469749644</v>
      </c>
      <c r="I32" s="8">
        <v>6431.060582854527</v>
      </c>
      <c r="J32" s="8">
        <v>7227.320783621527</v>
      </c>
      <c r="K32" s="8">
        <v>6438.416880925669</v>
      </c>
      <c r="L32" s="8">
        <v>6234.307113910168</v>
      </c>
      <c r="M32" s="8">
        <v>6815.485321313206</v>
      </c>
      <c r="N32" s="8">
        <v>8328.075602608526</v>
      </c>
      <c r="O32" s="8">
        <v>5955.990793395155</v>
      </c>
      <c r="P32" s="8">
        <v>5232.486043317323</v>
      </c>
      <c r="Q32" s="8">
        <v>6188.303981825168</v>
      </c>
      <c r="R32" s="8">
        <v>6506.428888350243</v>
      </c>
      <c r="S32" s="8">
        <v>7000.910871307198</v>
      </c>
      <c r="T32" s="8">
        <v>7554.977747033808</v>
      </c>
      <c r="U32" s="8">
        <v>6921.239667925275</v>
      </c>
      <c r="V32" s="8">
        <v>7661.366621304528</v>
      </c>
      <c r="W32" s="8">
        <v>5816.937775469883</v>
      </c>
      <c r="X32" s="8">
        <v>6788.813061846045</v>
      </c>
      <c r="Y32" s="8">
        <v>7574.854544020532</v>
      </c>
      <c r="Z32" s="8">
        <v>8826.330388084129</v>
      </c>
      <c r="AA32" s="8">
        <v>6427.935738188253</v>
      </c>
      <c r="AB32" s="8">
        <v>6557.921538199264</v>
      </c>
      <c r="AC32" s="8">
        <v>7472.493751024054</v>
      </c>
      <c r="AD32" s="8">
        <v>6792.168639696859</v>
      </c>
      <c r="AE32" s="8">
        <v>7229.759635649338</v>
      </c>
      <c r="AF32" s="8">
        <v>7229.348982619086</v>
      </c>
      <c r="AG32" s="8">
        <v>7781.221937744191</v>
      </c>
      <c r="AH32" s="8">
        <v>7600.872371758475</v>
      </c>
      <c r="AI32" s="8">
        <v>7871.012159078894</v>
      </c>
      <c r="AJ32" s="8">
        <v>6499.103198569533</v>
      </c>
      <c r="AK32" s="8">
        <v>7758.085896237761</v>
      </c>
      <c r="AL32" s="8">
        <v>8941.207071162422</v>
      </c>
    </row>
    <row r="33" spans="1:38">
      <c r="A33" t="s">
        <v>43</v>
      </c>
      <c r="B33" t="s">
        <v>11</v>
      </c>
      <c r="C33" s="8">
        <v>2326.879969334509</v>
      </c>
      <c r="D33" s="8">
        <v>2184.909067147755</v>
      </c>
      <c r="E33" s="8">
        <v>2178.837590000993</v>
      </c>
      <c r="F33" s="8">
        <v>2721.572525607683</v>
      </c>
      <c r="G33" s="8">
        <v>2797.404061701631</v>
      </c>
      <c r="H33" s="8">
        <v>2471.50215227649</v>
      </c>
      <c r="I33" s="8">
        <v>2816.744869758103</v>
      </c>
      <c r="J33" s="8">
        <v>2922.633094048311</v>
      </c>
      <c r="K33" s="8">
        <v>2513.717525806818</v>
      </c>
      <c r="L33" s="8">
        <v>2168.299680086167</v>
      </c>
      <c r="M33" s="8">
        <v>2711.034859154973</v>
      </c>
      <c r="N33" s="8">
        <v>3045.341709847304</v>
      </c>
      <c r="O33" s="8">
        <v>2607.810829181426</v>
      </c>
      <c r="P33" s="8">
        <v>2284.55426788303</v>
      </c>
      <c r="Q33" s="8">
        <v>2241.974490036609</v>
      </c>
      <c r="R33" s="8">
        <v>2463.979178779837</v>
      </c>
      <c r="S33" s="8">
        <v>2592.364798408276</v>
      </c>
      <c r="T33" s="8">
        <v>2840.153365487819</v>
      </c>
      <c r="U33" s="8">
        <v>3010.176434160295</v>
      </c>
      <c r="V33" s="8">
        <v>2808.928224980476</v>
      </c>
      <c r="W33" s="8">
        <v>2481.082650361906</v>
      </c>
      <c r="X33" s="8">
        <v>2517.898662031663</v>
      </c>
      <c r="Y33" s="8">
        <v>3055.295098242781</v>
      </c>
      <c r="Z33" s="8">
        <v>3302.521906659598</v>
      </c>
      <c r="AA33" s="8">
        <v>2644.401304289164</v>
      </c>
      <c r="AB33" s="8">
        <v>2317.250879756197</v>
      </c>
      <c r="AC33" s="8">
        <v>2895.214180944579</v>
      </c>
      <c r="AD33" s="8">
        <v>2863.410526621546</v>
      </c>
      <c r="AE33" s="8">
        <v>2822.726181643251</v>
      </c>
      <c r="AF33" s="8">
        <v>2886.399492782448</v>
      </c>
      <c r="AG33" s="8">
        <v>3486.661531164808</v>
      </c>
      <c r="AH33" s="8">
        <v>3223.431429702007</v>
      </c>
      <c r="AI33" s="8">
        <v>2888.850847243795</v>
      </c>
      <c r="AJ33" s="8">
        <v>2791.132809022618</v>
      </c>
      <c r="AK33" s="8">
        <v>3654.745826157829</v>
      </c>
      <c r="AL33" s="8">
        <v>3825.431609505942</v>
      </c>
    </row>
    <row r="34" spans="1:38">
      <c r="A34" t="s">
        <v>44</v>
      </c>
      <c r="B34" t="s">
        <v>11</v>
      </c>
      <c r="C34" s="8">
        <v>5000</v>
      </c>
      <c r="D34" s="8">
        <v>5000</v>
      </c>
      <c r="E34" s="8">
        <v>5000</v>
      </c>
      <c r="F34" s="8">
        <v>5000</v>
      </c>
      <c r="G34" s="8">
        <v>5000</v>
      </c>
      <c r="H34" s="8">
        <v>5000</v>
      </c>
      <c r="I34" s="8">
        <v>5000</v>
      </c>
      <c r="J34" s="8">
        <v>5000</v>
      </c>
      <c r="K34" s="8">
        <v>5000</v>
      </c>
      <c r="L34" s="8">
        <v>5000</v>
      </c>
      <c r="M34" s="8">
        <v>5000</v>
      </c>
      <c r="N34" s="8">
        <v>5000</v>
      </c>
      <c r="O34" s="8">
        <v>5000</v>
      </c>
      <c r="P34" s="8">
        <v>5000</v>
      </c>
      <c r="Q34" s="8">
        <v>5000</v>
      </c>
      <c r="R34" s="8">
        <v>5000</v>
      </c>
      <c r="S34" s="8">
        <v>5000</v>
      </c>
      <c r="T34" s="8">
        <v>5000</v>
      </c>
      <c r="U34" s="8">
        <v>5000</v>
      </c>
      <c r="V34" s="8">
        <v>5000</v>
      </c>
      <c r="W34" s="8">
        <v>5000</v>
      </c>
      <c r="X34" s="8">
        <v>5000</v>
      </c>
      <c r="Y34" s="8">
        <v>5000</v>
      </c>
      <c r="Z34" s="8">
        <v>5000</v>
      </c>
      <c r="AA34" s="8">
        <v>5000</v>
      </c>
      <c r="AB34" s="8">
        <v>5000</v>
      </c>
      <c r="AC34" s="8">
        <v>5000</v>
      </c>
      <c r="AD34" s="8">
        <v>5000</v>
      </c>
      <c r="AE34" s="8">
        <v>5000</v>
      </c>
      <c r="AF34" s="8">
        <v>5000</v>
      </c>
      <c r="AG34" s="8">
        <v>5000</v>
      </c>
      <c r="AH34" s="8">
        <v>5000</v>
      </c>
      <c r="AI34" s="8">
        <v>5000</v>
      </c>
      <c r="AJ34" s="8">
        <v>5000</v>
      </c>
      <c r="AK34" s="8">
        <v>5000</v>
      </c>
      <c r="AL34" s="8">
        <v>5000</v>
      </c>
    </row>
    <row r="35" spans="1:38">
      <c r="A35" t="s">
        <v>45</v>
      </c>
      <c r="B35" t="s">
        <v>11</v>
      </c>
      <c r="C35" s="8">
        <v>3027.324112435822</v>
      </c>
      <c r="D35" s="8">
        <v>3483.148885916362</v>
      </c>
      <c r="E35" s="8">
        <v>3371.947913142896</v>
      </c>
      <c r="F35" s="8">
        <v>3825.368107822875</v>
      </c>
      <c r="G35" s="8">
        <v>3700.694827972918</v>
      </c>
      <c r="H35" s="8">
        <v>3716.151702685476</v>
      </c>
      <c r="I35" s="8">
        <v>3946.338461911058</v>
      </c>
      <c r="J35" s="8">
        <v>4391.641810282074</v>
      </c>
      <c r="K35" s="8">
        <v>3695.660224005769</v>
      </c>
      <c r="L35" s="8">
        <v>3360.065999519804</v>
      </c>
      <c r="M35" s="8">
        <v>4186.807644785966</v>
      </c>
      <c r="N35" s="8">
        <v>4975.70537911175</v>
      </c>
      <c r="O35" s="8">
        <v>4010.674286015452</v>
      </c>
      <c r="P35" s="8">
        <v>3140.751202854306</v>
      </c>
      <c r="Q35" s="8">
        <v>3679.044036337233</v>
      </c>
      <c r="R35" s="8">
        <v>4183.51385585904</v>
      </c>
      <c r="S35" s="8">
        <v>4196.553461041639</v>
      </c>
      <c r="T35" s="8">
        <v>4258.540974428282</v>
      </c>
      <c r="U35" s="8">
        <v>4060.231036892792</v>
      </c>
      <c r="V35" s="8">
        <v>4194.026765369205</v>
      </c>
      <c r="W35" s="8">
        <v>3788.046896966919</v>
      </c>
      <c r="X35" s="8">
        <v>3936.148839990107</v>
      </c>
      <c r="Y35" s="8">
        <v>4755.109479202834</v>
      </c>
      <c r="Z35" s="8">
        <v>4923.407485063828</v>
      </c>
      <c r="AA35" s="8">
        <v>3757.829889693603</v>
      </c>
      <c r="AB35" s="8">
        <v>3785.672201410277</v>
      </c>
      <c r="AC35" s="8">
        <v>4006.038902168815</v>
      </c>
      <c r="AD35" s="8">
        <v>4491.068654719284</v>
      </c>
      <c r="AE35" s="8">
        <v>4668.288880791604</v>
      </c>
      <c r="AF35" s="8">
        <v>4223.476006602029</v>
      </c>
      <c r="AG35" s="8">
        <v>5084.254165786844</v>
      </c>
      <c r="AH35" s="8">
        <v>4482.683908262028</v>
      </c>
      <c r="AI35" s="8">
        <v>4393.275411910663</v>
      </c>
      <c r="AJ35" s="8">
        <v>4186.910169474871</v>
      </c>
      <c r="AK35" s="8">
        <v>5055.724230514774</v>
      </c>
      <c r="AL35" s="8">
        <v>5939.254045384918</v>
      </c>
    </row>
    <row r="36" spans="1:38">
      <c r="A36" t="s">
        <v>38</v>
      </c>
      <c r="B36" t="s">
        <v>12</v>
      </c>
      <c r="C36" s="8">
        <v>139269.382872847</v>
      </c>
      <c r="D36" s="8">
        <v>141472.1251544253</v>
      </c>
      <c r="E36" s="8">
        <v>160195.7861693379</v>
      </c>
      <c r="F36" s="8">
        <v>160169.5931740776</v>
      </c>
      <c r="G36" s="8">
        <v>167250.8842629705</v>
      </c>
      <c r="H36" s="8">
        <v>182800.3650721455</v>
      </c>
      <c r="I36" s="8">
        <v>179431.7837387798</v>
      </c>
      <c r="J36" s="8">
        <v>165448.7674106809</v>
      </c>
      <c r="K36" s="8">
        <v>160505.0668554904</v>
      </c>
      <c r="L36" s="8">
        <v>162095.4732075233</v>
      </c>
      <c r="M36" s="8">
        <v>196058.7075947034</v>
      </c>
      <c r="N36" s="8">
        <v>208837.0934755532</v>
      </c>
      <c r="O36" s="8">
        <v>148236.1186483985</v>
      </c>
      <c r="P36" s="8">
        <v>140792.8601063334</v>
      </c>
      <c r="Q36" s="8">
        <v>165257.2198721794</v>
      </c>
      <c r="R36" s="8">
        <v>163562.4075873419</v>
      </c>
      <c r="S36" s="8">
        <v>174068.9875103796</v>
      </c>
      <c r="T36" s="8">
        <v>196475.0450447179</v>
      </c>
      <c r="U36" s="8">
        <v>185472.9282919586</v>
      </c>
      <c r="V36" s="8">
        <v>186568.461944783</v>
      </c>
      <c r="W36" s="8">
        <v>171207.1485410467</v>
      </c>
      <c r="X36" s="8">
        <v>161058.3078819118</v>
      </c>
      <c r="Y36" s="8">
        <v>198779.9075313448</v>
      </c>
      <c r="Z36" s="8">
        <v>236819.0989056615</v>
      </c>
      <c r="AA36" s="8">
        <v>166836.5236056401</v>
      </c>
      <c r="AB36" s="8">
        <v>157881.8840595254</v>
      </c>
      <c r="AC36" s="8">
        <v>169810.6638148011</v>
      </c>
      <c r="AD36" s="8">
        <v>184453.254612476</v>
      </c>
      <c r="AE36" s="8">
        <v>185669.3745994211</v>
      </c>
      <c r="AF36" s="8">
        <v>197138.6439886731</v>
      </c>
      <c r="AG36" s="8">
        <v>210194.8698644939</v>
      </c>
      <c r="AH36" s="8">
        <v>184391.1848786647</v>
      </c>
      <c r="AI36" s="8">
        <v>177715.1426360703</v>
      </c>
      <c r="AJ36" s="8">
        <v>171721.8256556293</v>
      </c>
      <c r="AK36" s="8">
        <v>204865.9722928031</v>
      </c>
      <c r="AL36" s="8">
        <v>236359.0629995463</v>
      </c>
    </row>
    <row r="37" spans="1:38">
      <c r="A37" t="s">
        <v>39</v>
      </c>
      <c r="B37" t="s">
        <v>12</v>
      </c>
      <c r="C37" s="8">
        <v>56170.35902710067</v>
      </c>
      <c r="D37" s="8">
        <v>56144.20062926437</v>
      </c>
      <c r="E37" s="8">
        <v>66594.48860623257</v>
      </c>
      <c r="F37" s="8">
        <v>66101.62951520609</v>
      </c>
      <c r="G37" s="8">
        <v>65842.10619304464</v>
      </c>
      <c r="H37" s="8">
        <v>71361.04666099566</v>
      </c>
      <c r="I37" s="8">
        <v>70909.23326351734</v>
      </c>
      <c r="J37" s="8">
        <v>66777.07444197207</v>
      </c>
      <c r="K37" s="8">
        <v>62712.94830875841</v>
      </c>
      <c r="L37" s="8">
        <v>65643.14832164942</v>
      </c>
      <c r="M37" s="8">
        <v>77713.05766210034</v>
      </c>
      <c r="N37" s="8">
        <v>83969.61266913025</v>
      </c>
      <c r="O37" s="8">
        <v>58915.7132431361</v>
      </c>
      <c r="P37" s="8">
        <v>55159.63389997833</v>
      </c>
      <c r="Q37" s="8">
        <v>69067.29381891381</v>
      </c>
      <c r="R37" s="8">
        <v>67149.60296880652</v>
      </c>
      <c r="S37" s="8">
        <v>67121.78959964546</v>
      </c>
      <c r="T37" s="8">
        <v>81485.80850437032</v>
      </c>
      <c r="U37" s="8">
        <v>74095.92441815208</v>
      </c>
      <c r="V37" s="8">
        <v>77571.82486305397</v>
      </c>
      <c r="W37" s="8">
        <v>70536.35395025011</v>
      </c>
      <c r="X37" s="8">
        <v>63941.5236958606</v>
      </c>
      <c r="Y37" s="8">
        <v>75715.02274311769</v>
      </c>
      <c r="Z37" s="8">
        <v>92536.3747899872</v>
      </c>
      <c r="AA37" s="8">
        <v>67012.45374773884</v>
      </c>
      <c r="AB37" s="8">
        <v>63995.70533689269</v>
      </c>
      <c r="AC37" s="8">
        <v>66279.7354117474</v>
      </c>
      <c r="AD37" s="8">
        <v>71120.42400925088</v>
      </c>
      <c r="AE37" s="8">
        <v>76755.20134380693</v>
      </c>
      <c r="AF37" s="8">
        <v>82675.23315743142</v>
      </c>
      <c r="AG37" s="8">
        <v>84293.94572683387</v>
      </c>
      <c r="AH37" s="8">
        <v>71334.89613136026</v>
      </c>
      <c r="AI37" s="8">
        <v>69467.47961663616</v>
      </c>
      <c r="AJ37" s="8">
        <v>65380.61697121005</v>
      </c>
      <c r="AK37" s="8">
        <v>85341.41803015181</v>
      </c>
      <c r="AL37" s="8">
        <v>90929.70536459143</v>
      </c>
    </row>
    <row r="38" spans="1:38">
      <c r="A38" t="s">
        <v>40</v>
      </c>
      <c r="B38" t="s">
        <v>12</v>
      </c>
      <c r="C38" s="8">
        <v>31108.14593430325</v>
      </c>
      <c r="D38" s="8">
        <v>29717.4124577087</v>
      </c>
      <c r="E38" s="8">
        <v>35624.95281632282</v>
      </c>
      <c r="F38" s="8">
        <v>36304.43994632255</v>
      </c>
      <c r="G38" s="8">
        <v>39221.77730078734</v>
      </c>
      <c r="H38" s="8">
        <v>37854.76317309059</v>
      </c>
      <c r="I38" s="8">
        <v>35614.30523087299</v>
      </c>
      <c r="J38" s="8">
        <v>33755.34853324403</v>
      </c>
      <c r="K38" s="8">
        <v>38136.13553775187</v>
      </c>
      <c r="L38" s="8">
        <v>38327.66322385924</v>
      </c>
      <c r="M38" s="8">
        <v>43973.257895064</v>
      </c>
      <c r="N38" s="8">
        <v>46867.7931196648</v>
      </c>
      <c r="O38" s="8">
        <v>33688.37952970021</v>
      </c>
      <c r="P38" s="8">
        <v>28963.39135256163</v>
      </c>
      <c r="Q38" s="8">
        <v>39369.90927875615</v>
      </c>
      <c r="R38" s="8">
        <v>35399.14177452405</v>
      </c>
      <c r="S38" s="8">
        <v>37400.13109735387</v>
      </c>
      <c r="T38" s="8">
        <v>43388.05161773183</v>
      </c>
      <c r="U38" s="8">
        <v>37106.92007887242</v>
      </c>
      <c r="V38" s="8">
        <v>38305.57768872307</v>
      </c>
      <c r="W38" s="8">
        <v>39458.70717494225</v>
      </c>
      <c r="X38" s="8">
        <v>32476.30314805802</v>
      </c>
      <c r="Y38" s="8">
        <v>44633.78059527711</v>
      </c>
      <c r="Z38" s="8">
        <v>49446.7292064906</v>
      </c>
      <c r="AA38" s="8">
        <v>35891.37565759094</v>
      </c>
      <c r="AB38" s="8">
        <v>33266.1115311979</v>
      </c>
      <c r="AC38" s="8">
        <v>36279.98031901459</v>
      </c>
      <c r="AD38" s="8">
        <v>42357.4801400586</v>
      </c>
      <c r="AE38" s="8">
        <v>39189.85790795051</v>
      </c>
      <c r="AF38" s="8">
        <v>43946.50219018627</v>
      </c>
      <c r="AG38" s="8">
        <v>46021.3717360937</v>
      </c>
      <c r="AH38" s="8">
        <v>41893.95955822063</v>
      </c>
      <c r="AI38" s="8">
        <v>42513.10679493364</v>
      </c>
      <c r="AJ38" s="8">
        <v>39536.06066993656</v>
      </c>
      <c r="AK38" s="8">
        <v>42500.95717835406</v>
      </c>
      <c r="AL38" s="8">
        <v>47123.392803627</v>
      </c>
    </row>
    <row r="39" spans="1:38">
      <c r="A39" t="s">
        <v>41</v>
      </c>
      <c r="B39" t="s">
        <v>12</v>
      </c>
      <c r="C39" s="8">
        <v>16515.5</v>
      </c>
      <c r="D39" s="8">
        <v>16515.5</v>
      </c>
      <c r="E39" s="8">
        <v>16515.5</v>
      </c>
      <c r="F39" s="8">
        <v>16515.5</v>
      </c>
      <c r="G39" s="8">
        <v>16515.5</v>
      </c>
      <c r="H39" s="8">
        <v>16515.5</v>
      </c>
      <c r="I39" s="8">
        <v>16515.5</v>
      </c>
      <c r="J39" s="8">
        <v>16515.5</v>
      </c>
      <c r="K39" s="8">
        <v>16515.5</v>
      </c>
      <c r="L39" s="8">
        <v>16515.5</v>
      </c>
      <c r="M39" s="8">
        <v>16515.5</v>
      </c>
      <c r="N39" s="8">
        <v>16515.5</v>
      </c>
      <c r="O39" s="8">
        <v>17010.965</v>
      </c>
      <c r="P39" s="8">
        <v>17010.965</v>
      </c>
      <c r="Q39" s="8">
        <v>17010.965</v>
      </c>
      <c r="R39" s="8">
        <v>17010.965</v>
      </c>
      <c r="S39" s="8">
        <v>17010.965</v>
      </c>
      <c r="T39" s="8">
        <v>17010.965</v>
      </c>
      <c r="U39" s="8">
        <v>17010.965</v>
      </c>
      <c r="V39" s="8">
        <v>17010.965</v>
      </c>
      <c r="W39" s="8">
        <v>17010.965</v>
      </c>
      <c r="X39" s="8">
        <v>17010.965</v>
      </c>
      <c r="Y39" s="8">
        <v>17010.965</v>
      </c>
      <c r="Z39" s="8">
        <v>17010.965</v>
      </c>
      <c r="AA39" s="8">
        <v>17506.43</v>
      </c>
      <c r="AB39" s="8">
        <v>17506.43</v>
      </c>
      <c r="AC39" s="8">
        <v>17506.43</v>
      </c>
      <c r="AD39" s="8">
        <v>17506.43</v>
      </c>
      <c r="AE39" s="8">
        <v>17506.43</v>
      </c>
      <c r="AF39" s="8">
        <v>17506.43</v>
      </c>
      <c r="AG39" s="8">
        <v>17506.43</v>
      </c>
      <c r="AH39" s="8">
        <v>17506.43</v>
      </c>
      <c r="AI39" s="8">
        <v>17506.43</v>
      </c>
      <c r="AJ39" s="8">
        <v>17506.43</v>
      </c>
      <c r="AK39" s="8">
        <v>17506.43</v>
      </c>
      <c r="AL39" s="8">
        <v>17506.43</v>
      </c>
    </row>
    <row r="40" spans="1:38">
      <c r="A40" t="s">
        <v>42</v>
      </c>
      <c r="B40" t="s">
        <v>12</v>
      </c>
      <c r="C40" s="8">
        <v>6632.375745271851</v>
      </c>
      <c r="D40" s="8">
        <v>7208.115026835766</v>
      </c>
      <c r="E40" s="8">
        <v>7291.192363825279</v>
      </c>
      <c r="F40" s="8">
        <v>8002.659491629149</v>
      </c>
      <c r="G40" s="8">
        <v>8524.514734307473</v>
      </c>
      <c r="H40" s="8">
        <v>8837.015480891294</v>
      </c>
      <c r="I40" s="8">
        <v>9457.691786486155</v>
      </c>
      <c r="J40" s="8">
        <v>7621.560029371781</v>
      </c>
      <c r="K40" s="8">
        <v>7343.327955305859</v>
      </c>
      <c r="L40" s="8">
        <v>8474.657304550758</v>
      </c>
      <c r="M40" s="8">
        <v>9794.095712559511</v>
      </c>
      <c r="N40" s="8">
        <v>10835.30876251563</v>
      </c>
      <c r="O40" s="8">
        <v>7315.196508746255</v>
      </c>
      <c r="P40" s="8">
        <v>6682.595174742503</v>
      </c>
      <c r="Q40" s="8">
        <v>8790.200612345045</v>
      </c>
      <c r="R40" s="8">
        <v>8667.852199707562</v>
      </c>
      <c r="S40" s="8">
        <v>9042.355551053724</v>
      </c>
      <c r="T40" s="8">
        <v>9376.074307971887</v>
      </c>
      <c r="U40" s="8">
        <v>9440.999874657389</v>
      </c>
      <c r="V40" s="8">
        <v>9069.044235058389</v>
      </c>
      <c r="W40" s="8">
        <v>7861.116740664404</v>
      </c>
      <c r="X40" s="8">
        <v>8725.033577296586</v>
      </c>
      <c r="Y40" s="8">
        <v>9217.06378693688</v>
      </c>
      <c r="Z40" s="8">
        <v>12907.2029895382</v>
      </c>
      <c r="AA40" s="8">
        <v>8251.744088937323</v>
      </c>
      <c r="AB40" s="8">
        <v>7396.976138743636</v>
      </c>
      <c r="AC40" s="8">
        <v>8561.685467627936</v>
      </c>
      <c r="AD40" s="8">
        <v>9910.57346283954</v>
      </c>
      <c r="AE40" s="8">
        <v>9714.639224231905</v>
      </c>
      <c r="AF40" s="8">
        <v>10461.28268932383</v>
      </c>
      <c r="AG40" s="8">
        <v>10843.49798424875</v>
      </c>
      <c r="AH40" s="8">
        <v>9574.100279491697</v>
      </c>
      <c r="AI40" s="8">
        <v>9506.330682061776</v>
      </c>
      <c r="AJ40" s="8">
        <v>8156.216617394371</v>
      </c>
      <c r="AK40" s="8">
        <v>10221.63396358736</v>
      </c>
      <c r="AL40" s="8">
        <v>11159.00639893092</v>
      </c>
    </row>
    <row r="41" spans="1:38">
      <c r="A41" t="s">
        <v>43</v>
      </c>
      <c r="B41" t="s">
        <v>12</v>
      </c>
      <c r="C41" s="8">
        <v>3057.056547539034</v>
      </c>
      <c r="D41" s="8">
        <v>3080.730577009049</v>
      </c>
      <c r="E41" s="8">
        <v>2908.788187221395</v>
      </c>
      <c r="F41" s="8">
        <v>3335.099430475667</v>
      </c>
      <c r="G41" s="8">
        <v>3629.510313735851</v>
      </c>
      <c r="H41" s="8">
        <v>3422.443527347839</v>
      </c>
      <c r="I41" s="8">
        <v>3637.401810434</v>
      </c>
      <c r="J41" s="8">
        <v>3583.943455051632</v>
      </c>
      <c r="K41" s="8">
        <v>2910.885209648381</v>
      </c>
      <c r="L41" s="8">
        <v>3369.913190710995</v>
      </c>
      <c r="M41" s="8">
        <v>3762.248185064781</v>
      </c>
      <c r="N41" s="8">
        <v>4531.260541209135</v>
      </c>
      <c r="O41" s="8">
        <v>3244.033756650529</v>
      </c>
      <c r="P41" s="8">
        <v>3066.055400733388</v>
      </c>
      <c r="Q41" s="8">
        <v>3288.099249973933</v>
      </c>
      <c r="R41" s="8">
        <v>3508.114422327302</v>
      </c>
      <c r="S41" s="8">
        <v>3721.281210008833</v>
      </c>
      <c r="T41" s="8">
        <v>3787.331930221961</v>
      </c>
      <c r="U41" s="8">
        <v>3953.478230444228</v>
      </c>
      <c r="V41" s="8">
        <v>3385.850144962429</v>
      </c>
      <c r="W41" s="8">
        <v>3490.071336362156</v>
      </c>
      <c r="X41" s="8">
        <v>3047.228878400187</v>
      </c>
      <c r="Y41" s="8">
        <v>3673.903433188806</v>
      </c>
      <c r="Z41" s="8">
        <v>4335.639731772848</v>
      </c>
      <c r="AA41" s="8">
        <v>3467.723020074064</v>
      </c>
      <c r="AB41" s="8">
        <v>3056.514311568917</v>
      </c>
      <c r="AC41" s="8">
        <v>3548.884455003257</v>
      </c>
      <c r="AD41" s="8">
        <v>3368.379342104277</v>
      </c>
      <c r="AE41" s="8">
        <v>3576.207782158579</v>
      </c>
      <c r="AF41" s="8">
        <v>3973.913919086399</v>
      </c>
      <c r="AG41" s="8">
        <v>4448.331468489558</v>
      </c>
      <c r="AH41" s="8">
        <v>3554.141934610703</v>
      </c>
      <c r="AI41" s="8">
        <v>3643.794068402023</v>
      </c>
      <c r="AJ41" s="8">
        <v>3699.559727470854</v>
      </c>
      <c r="AK41" s="8">
        <v>4192.265144655708</v>
      </c>
      <c r="AL41" s="8">
        <v>4474.711466670376</v>
      </c>
    </row>
    <row r="42" spans="1:38">
      <c r="A42" t="s">
        <v>44</v>
      </c>
      <c r="B42" t="s">
        <v>12</v>
      </c>
      <c r="C42" s="8">
        <v>5000</v>
      </c>
      <c r="D42" s="8">
        <v>5000</v>
      </c>
      <c r="E42" s="8">
        <v>5000</v>
      </c>
      <c r="F42" s="8">
        <v>5000</v>
      </c>
      <c r="G42" s="8">
        <v>5000</v>
      </c>
      <c r="H42" s="8">
        <v>5000</v>
      </c>
      <c r="I42" s="8">
        <v>5000</v>
      </c>
      <c r="J42" s="8">
        <v>5000</v>
      </c>
      <c r="K42" s="8">
        <v>5000</v>
      </c>
      <c r="L42" s="8">
        <v>5000</v>
      </c>
      <c r="M42" s="8">
        <v>5000</v>
      </c>
      <c r="N42" s="8">
        <v>5000</v>
      </c>
      <c r="O42" s="8">
        <v>5000</v>
      </c>
      <c r="P42" s="8">
        <v>5000</v>
      </c>
      <c r="Q42" s="8">
        <v>5000</v>
      </c>
      <c r="R42" s="8">
        <v>5000</v>
      </c>
      <c r="S42" s="8">
        <v>5000</v>
      </c>
      <c r="T42" s="8">
        <v>5000</v>
      </c>
      <c r="U42" s="8">
        <v>5000</v>
      </c>
      <c r="V42" s="8">
        <v>5000</v>
      </c>
      <c r="W42" s="8">
        <v>5000</v>
      </c>
      <c r="X42" s="8">
        <v>5000</v>
      </c>
      <c r="Y42" s="8">
        <v>5000</v>
      </c>
      <c r="Z42" s="8">
        <v>5000</v>
      </c>
      <c r="AA42" s="8">
        <v>5000</v>
      </c>
      <c r="AB42" s="8">
        <v>5000</v>
      </c>
      <c r="AC42" s="8">
        <v>5000</v>
      </c>
      <c r="AD42" s="8">
        <v>5000</v>
      </c>
      <c r="AE42" s="8">
        <v>5000</v>
      </c>
      <c r="AF42" s="8">
        <v>5000</v>
      </c>
      <c r="AG42" s="8">
        <v>5000</v>
      </c>
      <c r="AH42" s="8">
        <v>5000</v>
      </c>
      <c r="AI42" s="8">
        <v>5000</v>
      </c>
      <c r="AJ42" s="8">
        <v>5000</v>
      </c>
      <c r="AK42" s="8">
        <v>5000</v>
      </c>
      <c r="AL42" s="8">
        <v>5000</v>
      </c>
    </row>
    <row r="43" spans="1:38">
      <c r="A43" t="s">
        <v>45</v>
      </c>
      <c r="B43" t="s">
        <v>12</v>
      </c>
      <c r="C43" s="8">
        <v>3780.663028300833</v>
      </c>
      <c r="D43" s="8">
        <v>4558.315799880904</v>
      </c>
      <c r="E43" s="8">
        <v>4345.729846527342</v>
      </c>
      <c r="F43" s="8">
        <v>5165.182682075177</v>
      </c>
      <c r="G43" s="8">
        <v>5046.565095413638</v>
      </c>
      <c r="H43" s="8">
        <v>5965.581365641629</v>
      </c>
      <c r="I43" s="8">
        <v>5704.620765840073</v>
      </c>
      <c r="J43" s="8">
        <v>5457.758531357273</v>
      </c>
      <c r="K43" s="8">
        <v>4671.382945414763</v>
      </c>
      <c r="L43" s="8">
        <v>5122.724269004496</v>
      </c>
      <c r="M43" s="8">
        <v>5766.397437844509</v>
      </c>
      <c r="N43" s="8">
        <v>6239.896502484215</v>
      </c>
      <c r="O43" s="8">
        <v>4560.489049295698</v>
      </c>
      <c r="P43" s="8">
        <v>4539.452221165458</v>
      </c>
      <c r="Q43" s="8">
        <v>5437.706326001115</v>
      </c>
      <c r="R43" s="8">
        <v>5170.148900400394</v>
      </c>
      <c r="S43" s="8">
        <v>5136.184107504273</v>
      </c>
      <c r="T43" s="8">
        <v>5801.543032221152</v>
      </c>
      <c r="U43" s="8">
        <v>5828.578359874968</v>
      </c>
      <c r="V43" s="8">
        <v>5304.638181510485</v>
      </c>
      <c r="W43" s="8">
        <v>4736.076757989224</v>
      </c>
      <c r="X43" s="8">
        <v>4691.263380693956</v>
      </c>
      <c r="Y43" s="8">
        <v>5709.641544548681</v>
      </c>
      <c r="Z43" s="8">
        <v>6815.144202961768</v>
      </c>
      <c r="AA43" s="8">
        <v>4738.431967787276</v>
      </c>
      <c r="AB43" s="8">
        <v>4302.685382122367</v>
      </c>
      <c r="AC43" s="8">
        <v>4603.099031332011</v>
      </c>
      <c r="AD43" s="8">
        <v>6073.369531179394</v>
      </c>
      <c r="AE43" s="8">
        <v>5489.619335451403</v>
      </c>
      <c r="AF43" s="8">
        <v>5777.337192112812</v>
      </c>
      <c r="AG43" s="8">
        <v>6532.411719177896</v>
      </c>
      <c r="AH43" s="8">
        <v>5220.026549650834</v>
      </c>
      <c r="AI43" s="8">
        <v>5811.243775000565</v>
      </c>
      <c r="AJ43" s="8">
        <v>5446.684901525835</v>
      </c>
      <c r="AK43" s="8">
        <v>5641.284883439934</v>
      </c>
      <c r="AL43" s="8">
        <v>6973.888706334646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J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20.7109375" customWidth="1"/>
    <col min="3" max="53" width="12.7109375" customWidth="1"/>
  </cols>
  <sheetData>
    <row r="1" spans="1:62">
      <c r="A1" s="1" t="s">
        <v>46</v>
      </c>
    </row>
    <row r="2" spans="1:62">
      <c r="C2" s="6">
        <v>44197</v>
      </c>
      <c r="D2" s="6">
        <v>44228</v>
      </c>
      <c r="E2" s="6">
        <v>44256</v>
      </c>
      <c r="F2" s="6">
        <v>44287</v>
      </c>
      <c r="G2" s="6">
        <v>44317</v>
      </c>
      <c r="H2" s="6">
        <v>44348</v>
      </c>
      <c r="I2" s="6">
        <v>44378</v>
      </c>
      <c r="J2" s="6">
        <v>44409</v>
      </c>
      <c r="K2" s="6">
        <v>44440</v>
      </c>
      <c r="L2" s="6">
        <v>44470</v>
      </c>
      <c r="M2" s="6">
        <v>44501</v>
      </c>
      <c r="N2" s="6">
        <v>44531</v>
      </c>
      <c r="O2" s="6">
        <v>44562</v>
      </c>
      <c r="P2" s="6">
        <v>44593</v>
      </c>
      <c r="Q2" s="6">
        <v>44621</v>
      </c>
      <c r="R2" s="6">
        <v>44652</v>
      </c>
      <c r="S2" s="6">
        <v>44682</v>
      </c>
      <c r="T2" s="6">
        <v>44713</v>
      </c>
      <c r="U2" s="6">
        <v>44743</v>
      </c>
      <c r="V2" s="6">
        <v>44774</v>
      </c>
      <c r="W2" s="6">
        <v>44805</v>
      </c>
      <c r="X2" s="6">
        <v>44835</v>
      </c>
      <c r="Y2" s="6">
        <v>44866</v>
      </c>
      <c r="Z2" s="6">
        <v>44896</v>
      </c>
      <c r="AA2" s="6">
        <v>44927</v>
      </c>
      <c r="AB2" s="6">
        <v>44958</v>
      </c>
      <c r="AC2" s="6">
        <v>44986</v>
      </c>
      <c r="AD2" s="6">
        <v>45017</v>
      </c>
      <c r="AE2" s="6">
        <v>45047</v>
      </c>
      <c r="AF2" s="6">
        <v>45078</v>
      </c>
      <c r="AG2" s="6">
        <v>45108</v>
      </c>
      <c r="AH2" s="6">
        <v>45139</v>
      </c>
      <c r="AI2" s="6">
        <v>45170</v>
      </c>
      <c r="AJ2" s="6">
        <v>45200</v>
      </c>
      <c r="AK2" s="6">
        <v>45231</v>
      </c>
      <c r="AL2" s="6">
        <v>45261</v>
      </c>
      <c r="AM2" s="6">
        <v>45292</v>
      </c>
      <c r="AN2" s="6">
        <v>45323</v>
      </c>
      <c r="AO2" s="6">
        <v>45352</v>
      </c>
      <c r="AP2" s="6">
        <v>45383</v>
      </c>
      <c r="AQ2" s="6">
        <v>45413</v>
      </c>
      <c r="AR2" s="6">
        <v>45444</v>
      </c>
      <c r="AS2" s="6">
        <v>45474</v>
      </c>
      <c r="AT2" s="6">
        <v>45505</v>
      </c>
      <c r="AU2" s="6">
        <v>45536</v>
      </c>
      <c r="AV2" s="6">
        <v>45566</v>
      </c>
      <c r="AW2" s="6">
        <v>45597</v>
      </c>
      <c r="AX2" s="6">
        <v>45627</v>
      </c>
      <c r="AY2" s="6">
        <v>45658</v>
      </c>
      <c r="AZ2" s="6">
        <v>45689</v>
      </c>
      <c r="BA2" s="6">
        <v>45717</v>
      </c>
      <c r="BB2" s="6">
        <v>45748</v>
      </c>
      <c r="BC2" s="6">
        <v>45778</v>
      </c>
      <c r="BD2" s="6">
        <v>45809</v>
      </c>
      <c r="BE2" s="6">
        <v>45839</v>
      </c>
      <c r="BF2" s="6">
        <v>45870</v>
      </c>
      <c r="BG2" s="6">
        <v>45901</v>
      </c>
      <c r="BH2" s="6">
        <v>45931</v>
      </c>
      <c r="BI2" s="6">
        <v>45962</v>
      </c>
      <c r="BJ2" s="6">
        <v>45992</v>
      </c>
    </row>
    <row r="3" spans="1:62">
      <c r="A3" s="2" t="s">
        <v>34</v>
      </c>
      <c r="B3" s="2" t="s">
        <v>35</v>
      </c>
      <c r="C3" s="7" t="s">
        <v>36</v>
      </c>
      <c r="D3" s="7" t="s">
        <v>36</v>
      </c>
      <c r="E3" s="7" t="s">
        <v>36</v>
      </c>
      <c r="F3" s="7" t="s">
        <v>36</v>
      </c>
      <c r="G3" s="7" t="s">
        <v>36</v>
      </c>
      <c r="H3" s="7" t="s">
        <v>36</v>
      </c>
      <c r="I3" s="7" t="s">
        <v>36</v>
      </c>
      <c r="J3" s="7" t="s">
        <v>36</v>
      </c>
      <c r="K3" s="7" t="s">
        <v>36</v>
      </c>
      <c r="L3" s="7" t="s">
        <v>36</v>
      </c>
      <c r="M3" s="7" t="s">
        <v>36</v>
      </c>
      <c r="N3" s="7" t="s">
        <v>36</v>
      </c>
      <c r="O3" s="7" t="s">
        <v>36</v>
      </c>
      <c r="P3" s="7" t="s">
        <v>36</v>
      </c>
      <c r="Q3" s="7" t="s">
        <v>36</v>
      </c>
      <c r="R3" s="7" t="s">
        <v>36</v>
      </c>
      <c r="S3" s="7" t="s">
        <v>36</v>
      </c>
      <c r="T3" s="7" t="s">
        <v>36</v>
      </c>
      <c r="U3" s="7" t="s">
        <v>36</v>
      </c>
      <c r="V3" s="7" t="s">
        <v>36</v>
      </c>
      <c r="W3" s="7" t="s">
        <v>36</v>
      </c>
      <c r="X3" s="7" t="s">
        <v>36</v>
      </c>
      <c r="Y3" s="7" t="s">
        <v>36</v>
      </c>
      <c r="Z3" s="7" t="s">
        <v>36</v>
      </c>
      <c r="AA3" s="7" t="s">
        <v>36</v>
      </c>
      <c r="AB3" s="7" t="s">
        <v>36</v>
      </c>
      <c r="AC3" s="7" t="s">
        <v>36</v>
      </c>
      <c r="AD3" s="7" t="s">
        <v>36</v>
      </c>
      <c r="AE3" s="7" t="s">
        <v>36</v>
      </c>
      <c r="AF3" s="7" t="s">
        <v>36</v>
      </c>
      <c r="AG3" s="7" t="s">
        <v>36</v>
      </c>
      <c r="AH3" s="7" t="s">
        <v>36</v>
      </c>
      <c r="AI3" s="7" t="s">
        <v>36</v>
      </c>
      <c r="AJ3" s="7" t="s">
        <v>36</v>
      </c>
      <c r="AK3" s="7" t="s">
        <v>36</v>
      </c>
      <c r="AL3" s="7" t="s">
        <v>36</v>
      </c>
      <c r="AM3" s="7" t="s">
        <v>37</v>
      </c>
      <c r="AN3" s="7" t="s">
        <v>37</v>
      </c>
      <c r="AO3" s="7" t="s">
        <v>37</v>
      </c>
      <c r="AP3" s="7" t="s">
        <v>37</v>
      </c>
      <c r="AQ3" s="7" t="s">
        <v>37</v>
      </c>
      <c r="AR3" s="7" t="s">
        <v>37</v>
      </c>
      <c r="AS3" s="7" t="s">
        <v>37</v>
      </c>
      <c r="AT3" s="7" t="s">
        <v>37</v>
      </c>
      <c r="AU3" s="7" t="s">
        <v>37</v>
      </c>
      <c r="AV3" s="7" t="s">
        <v>37</v>
      </c>
      <c r="AW3" s="7" t="s">
        <v>37</v>
      </c>
      <c r="AX3" s="7" t="s">
        <v>37</v>
      </c>
      <c r="AY3" s="7" t="s">
        <v>37</v>
      </c>
      <c r="AZ3" s="7" t="s">
        <v>37</v>
      </c>
      <c r="BA3" s="7" t="s">
        <v>37</v>
      </c>
      <c r="BB3" s="7" t="s">
        <v>37</v>
      </c>
      <c r="BC3" s="7" t="s">
        <v>37</v>
      </c>
      <c r="BD3" s="7" t="s">
        <v>37</v>
      </c>
      <c r="BE3" s="7" t="s">
        <v>37</v>
      </c>
      <c r="BF3" s="7" t="s">
        <v>37</v>
      </c>
      <c r="BG3" s="7" t="s">
        <v>37</v>
      </c>
      <c r="BH3" s="7" t="s">
        <v>37</v>
      </c>
      <c r="BI3" s="7" t="s">
        <v>37</v>
      </c>
      <c r="BJ3" s="7" t="s">
        <v>37</v>
      </c>
    </row>
    <row r="4" spans="1:62">
      <c r="A4" t="s">
        <v>38</v>
      </c>
      <c r="B4" t="s">
        <v>8</v>
      </c>
      <c r="C4" s="9">
        <f>'Historical Data'!C4</f>
        <v>0</v>
      </c>
      <c r="D4" s="9">
        <f>'Historical Data'!D4</f>
        <v>0</v>
      </c>
      <c r="E4" s="9">
        <f>'Historical Data'!E4</f>
        <v>0</v>
      </c>
      <c r="F4" s="9">
        <f>'Historical Data'!F4</f>
        <v>0</v>
      </c>
      <c r="G4" s="9">
        <f>'Historical Data'!G4</f>
        <v>0</v>
      </c>
      <c r="H4" s="9">
        <f>'Historical Data'!H4</f>
        <v>0</v>
      </c>
      <c r="I4" s="9">
        <f>'Historical Data'!I4</f>
        <v>0</v>
      </c>
      <c r="J4" s="9">
        <f>'Historical Data'!J4</f>
        <v>0</v>
      </c>
      <c r="K4" s="9">
        <f>'Historical Data'!K4</f>
        <v>0</v>
      </c>
      <c r="L4" s="9">
        <f>'Historical Data'!L4</f>
        <v>0</v>
      </c>
      <c r="M4" s="9">
        <f>'Historical Data'!M4</f>
        <v>0</v>
      </c>
      <c r="N4" s="9">
        <f>'Historical Data'!N4</f>
        <v>0</v>
      </c>
      <c r="O4" s="9">
        <f>'Historical Data'!O4</f>
        <v>0</v>
      </c>
      <c r="P4" s="9">
        <f>'Historical Data'!P4</f>
        <v>0</v>
      </c>
      <c r="Q4" s="9">
        <f>'Historical Data'!Q4</f>
        <v>0</v>
      </c>
      <c r="R4" s="9">
        <f>'Historical Data'!R4</f>
        <v>0</v>
      </c>
      <c r="S4" s="9">
        <f>'Historical Data'!S4</f>
        <v>0</v>
      </c>
      <c r="T4" s="9">
        <f>'Historical Data'!T4</f>
        <v>0</v>
      </c>
      <c r="U4" s="9">
        <f>'Historical Data'!U4</f>
        <v>0</v>
      </c>
      <c r="V4" s="9">
        <f>'Historical Data'!V4</f>
        <v>0</v>
      </c>
      <c r="W4" s="9">
        <f>'Historical Data'!W4</f>
        <v>0</v>
      </c>
      <c r="X4" s="9">
        <f>'Historical Data'!X4</f>
        <v>0</v>
      </c>
      <c r="Y4" s="9">
        <f>'Historical Data'!Y4</f>
        <v>0</v>
      </c>
      <c r="Z4" s="9">
        <f>'Historical Data'!Z4</f>
        <v>0</v>
      </c>
      <c r="AA4" s="9">
        <f>'Historical Data'!AA4</f>
        <v>0</v>
      </c>
      <c r="AB4" s="9">
        <f>'Historical Data'!AB4</f>
        <v>0</v>
      </c>
      <c r="AC4" s="9">
        <f>'Historical Data'!AC4</f>
        <v>0</v>
      </c>
      <c r="AD4" s="9">
        <f>'Historical Data'!AD4</f>
        <v>0</v>
      </c>
      <c r="AE4" s="9">
        <f>'Historical Data'!AE4</f>
        <v>0</v>
      </c>
      <c r="AF4" s="9">
        <f>'Historical Data'!AF4</f>
        <v>0</v>
      </c>
      <c r="AG4" s="9">
        <f>'Historical Data'!AG4</f>
        <v>0</v>
      </c>
      <c r="AH4" s="9">
        <f>'Historical Data'!AH4</f>
        <v>0</v>
      </c>
      <c r="AI4" s="9">
        <f>'Historical Data'!AI4</f>
        <v>0</v>
      </c>
      <c r="AJ4" s="9">
        <f>'Historical Data'!AJ4</f>
        <v>0</v>
      </c>
      <c r="AK4" s="9">
        <f>'Historical Data'!AK4</f>
        <v>0</v>
      </c>
      <c r="AL4" s="9">
        <f>'Historical Data'!AL4</f>
        <v>0</v>
      </c>
      <c r="AM4" s="9">
        <f>AA4*(1+Unit1_Growth)*ScenarioMult</f>
        <v>0</v>
      </c>
      <c r="AN4" s="9">
        <f>AB4*(1+Unit1_Growth)*ScenarioMult</f>
        <v>0</v>
      </c>
      <c r="AO4" s="9">
        <f>AC4*(1+Unit1_Growth)*ScenarioMult</f>
        <v>0</v>
      </c>
      <c r="AP4" s="9">
        <f>AD4*(1+Unit1_Growth)*ScenarioMult</f>
        <v>0</v>
      </c>
      <c r="AQ4" s="9">
        <f>AE4*(1+Unit1_Growth)*ScenarioMult</f>
        <v>0</v>
      </c>
      <c r="AR4" s="9">
        <f>AF4*(1+Unit1_Growth)*ScenarioMult</f>
        <v>0</v>
      </c>
      <c r="AS4" s="9">
        <f>AG4*(1+Unit1_Growth)*ScenarioMult</f>
        <v>0</v>
      </c>
      <c r="AT4" s="9">
        <f>AH4*(1+Unit1_Growth)*ScenarioMult</f>
        <v>0</v>
      </c>
      <c r="AU4" s="9">
        <f>AI4*(1+Unit1_Growth)*ScenarioMult</f>
        <v>0</v>
      </c>
      <c r="AV4" s="9">
        <f>AJ4*(1+Unit1_Growth)*ScenarioMult</f>
        <v>0</v>
      </c>
      <c r="AW4" s="9">
        <f>AK4*(1+Unit1_Growth)*ScenarioMult</f>
        <v>0</v>
      </c>
      <c r="AX4" s="9">
        <f>AL4*(1+Unit1_Growth)*ScenarioMult</f>
        <v>0</v>
      </c>
      <c r="AY4" s="9">
        <f>AM4*(1+Unit1_Growth)*ScenarioMult</f>
        <v>0</v>
      </c>
      <c r="AZ4" s="9">
        <f>AN4*(1+Unit1_Growth)*ScenarioMult</f>
        <v>0</v>
      </c>
      <c r="BA4" s="9">
        <f>AO4*(1+Unit1_Growth)*ScenarioMult</f>
        <v>0</v>
      </c>
      <c r="BB4" s="9">
        <f>AP4*(1+Unit1_Growth)*ScenarioMult</f>
        <v>0</v>
      </c>
      <c r="BC4" s="9">
        <f>AQ4*(1+Unit1_Growth)*ScenarioMult</f>
        <v>0</v>
      </c>
      <c r="BD4" s="9">
        <f>AR4*(1+Unit1_Growth)*ScenarioMult</f>
        <v>0</v>
      </c>
      <c r="BE4" s="9">
        <f>AS4*(1+Unit1_Growth)*ScenarioMult</f>
        <v>0</v>
      </c>
      <c r="BF4" s="9">
        <f>AT4*(1+Unit1_Growth)*ScenarioMult</f>
        <v>0</v>
      </c>
      <c r="BG4" s="9">
        <f>AU4*(1+Unit1_Growth)*ScenarioMult</f>
        <v>0</v>
      </c>
      <c r="BH4" s="9">
        <f>AV4*(1+Unit1_Growth)*ScenarioMult</f>
        <v>0</v>
      </c>
      <c r="BI4" s="9">
        <f>AW4*(1+Unit1_Growth)*ScenarioMult</f>
        <v>0</v>
      </c>
      <c r="BJ4" s="9">
        <f>AX4*(1+Unit1_Growth)*ScenarioMult</f>
        <v>0</v>
      </c>
    </row>
    <row r="5" spans="1:62">
      <c r="A5" t="s">
        <v>38</v>
      </c>
      <c r="B5" t="s">
        <v>9</v>
      </c>
      <c r="C5" s="9">
        <f>'Historical Data'!C5</f>
        <v>0</v>
      </c>
      <c r="D5" s="9">
        <f>'Historical Data'!D5</f>
        <v>0</v>
      </c>
      <c r="E5" s="9">
        <f>'Historical Data'!E5</f>
        <v>0</v>
      </c>
      <c r="F5" s="9">
        <f>'Historical Data'!F5</f>
        <v>0</v>
      </c>
      <c r="G5" s="9">
        <f>'Historical Data'!G5</f>
        <v>0</v>
      </c>
      <c r="H5" s="9">
        <f>'Historical Data'!H5</f>
        <v>0</v>
      </c>
      <c r="I5" s="9">
        <f>'Historical Data'!I5</f>
        <v>0</v>
      </c>
      <c r="J5" s="9">
        <f>'Historical Data'!J5</f>
        <v>0</v>
      </c>
      <c r="K5" s="9">
        <f>'Historical Data'!K5</f>
        <v>0</v>
      </c>
      <c r="L5" s="9">
        <f>'Historical Data'!L5</f>
        <v>0</v>
      </c>
      <c r="M5" s="9">
        <f>'Historical Data'!M5</f>
        <v>0</v>
      </c>
      <c r="N5" s="9">
        <f>'Historical Data'!N5</f>
        <v>0</v>
      </c>
      <c r="O5" s="9">
        <f>'Historical Data'!O5</f>
        <v>0</v>
      </c>
      <c r="P5" s="9">
        <f>'Historical Data'!P5</f>
        <v>0</v>
      </c>
      <c r="Q5" s="9">
        <f>'Historical Data'!Q5</f>
        <v>0</v>
      </c>
      <c r="R5" s="9">
        <f>'Historical Data'!R5</f>
        <v>0</v>
      </c>
      <c r="S5" s="9">
        <f>'Historical Data'!S5</f>
        <v>0</v>
      </c>
      <c r="T5" s="9">
        <f>'Historical Data'!T5</f>
        <v>0</v>
      </c>
      <c r="U5" s="9">
        <f>'Historical Data'!U5</f>
        <v>0</v>
      </c>
      <c r="V5" s="9">
        <f>'Historical Data'!V5</f>
        <v>0</v>
      </c>
      <c r="W5" s="9">
        <f>'Historical Data'!W5</f>
        <v>0</v>
      </c>
      <c r="X5" s="9">
        <f>'Historical Data'!X5</f>
        <v>0</v>
      </c>
      <c r="Y5" s="9">
        <f>'Historical Data'!Y5</f>
        <v>0</v>
      </c>
      <c r="Z5" s="9">
        <f>'Historical Data'!Z5</f>
        <v>0</v>
      </c>
      <c r="AA5" s="9">
        <f>'Historical Data'!AA5</f>
        <v>0</v>
      </c>
      <c r="AB5" s="9">
        <f>'Historical Data'!AB5</f>
        <v>0</v>
      </c>
      <c r="AC5" s="9">
        <f>'Historical Data'!AC5</f>
        <v>0</v>
      </c>
      <c r="AD5" s="9">
        <f>'Historical Data'!AD5</f>
        <v>0</v>
      </c>
      <c r="AE5" s="9">
        <f>'Historical Data'!AE5</f>
        <v>0</v>
      </c>
      <c r="AF5" s="9">
        <f>'Historical Data'!AF5</f>
        <v>0</v>
      </c>
      <c r="AG5" s="9">
        <f>'Historical Data'!AG5</f>
        <v>0</v>
      </c>
      <c r="AH5" s="9">
        <f>'Historical Data'!AH5</f>
        <v>0</v>
      </c>
      <c r="AI5" s="9">
        <f>'Historical Data'!AI5</f>
        <v>0</v>
      </c>
      <c r="AJ5" s="9">
        <f>'Historical Data'!AJ5</f>
        <v>0</v>
      </c>
      <c r="AK5" s="9">
        <f>'Historical Data'!AK5</f>
        <v>0</v>
      </c>
      <c r="AL5" s="9">
        <f>'Historical Data'!AL5</f>
        <v>0</v>
      </c>
      <c r="AM5" s="9">
        <f>AA5*(1+Unit2_Growth)*ScenarioMult</f>
        <v>0</v>
      </c>
      <c r="AN5" s="9">
        <f>AB5*(1+Unit2_Growth)*ScenarioMult</f>
        <v>0</v>
      </c>
      <c r="AO5" s="9">
        <f>AC5*(1+Unit2_Growth)*ScenarioMult</f>
        <v>0</v>
      </c>
      <c r="AP5" s="9">
        <f>AD5*(1+Unit2_Growth)*ScenarioMult</f>
        <v>0</v>
      </c>
      <c r="AQ5" s="9">
        <f>AE5*(1+Unit2_Growth)*ScenarioMult</f>
        <v>0</v>
      </c>
      <c r="AR5" s="9">
        <f>AF5*(1+Unit2_Growth)*ScenarioMult</f>
        <v>0</v>
      </c>
      <c r="AS5" s="9">
        <f>AG5*(1+Unit2_Growth)*ScenarioMult</f>
        <v>0</v>
      </c>
      <c r="AT5" s="9">
        <f>AH5*(1+Unit2_Growth)*ScenarioMult</f>
        <v>0</v>
      </c>
      <c r="AU5" s="9">
        <f>AI5*(1+Unit2_Growth)*ScenarioMult</f>
        <v>0</v>
      </c>
      <c r="AV5" s="9">
        <f>AJ5*(1+Unit2_Growth)*ScenarioMult</f>
        <v>0</v>
      </c>
      <c r="AW5" s="9">
        <f>AK5*(1+Unit2_Growth)*ScenarioMult</f>
        <v>0</v>
      </c>
      <c r="AX5" s="9">
        <f>AL5*(1+Unit2_Growth)*ScenarioMult</f>
        <v>0</v>
      </c>
      <c r="AY5" s="9">
        <f>AM5*(1+Unit2_Growth)*ScenarioMult</f>
        <v>0</v>
      </c>
      <c r="AZ5" s="9">
        <f>AN5*(1+Unit2_Growth)*ScenarioMult</f>
        <v>0</v>
      </c>
      <c r="BA5" s="9">
        <f>AO5*(1+Unit2_Growth)*ScenarioMult</f>
        <v>0</v>
      </c>
      <c r="BB5" s="9">
        <f>AP5*(1+Unit2_Growth)*ScenarioMult</f>
        <v>0</v>
      </c>
      <c r="BC5" s="9">
        <f>AQ5*(1+Unit2_Growth)*ScenarioMult</f>
        <v>0</v>
      </c>
      <c r="BD5" s="9">
        <f>AR5*(1+Unit2_Growth)*ScenarioMult</f>
        <v>0</v>
      </c>
      <c r="BE5" s="9">
        <f>AS5*(1+Unit2_Growth)*ScenarioMult</f>
        <v>0</v>
      </c>
      <c r="BF5" s="9">
        <f>AT5*(1+Unit2_Growth)*ScenarioMult</f>
        <v>0</v>
      </c>
      <c r="BG5" s="9">
        <f>AU5*(1+Unit2_Growth)*ScenarioMult</f>
        <v>0</v>
      </c>
      <c r="BH5" s="9">
        <f>AV5*(1+Unit2_Growth)*ScenarioMult</f>
        <v>0</v>
      </c>
      <c r="BI5" s="9">
        <f>AW5*(1+Unit2_Growth)*ScenarioMult</f>
        <v>0</v>
      </c>
      <c r="BJ5" s="9">
        <f>AX5*(1+Unit2_Growth)*ScenarioMult</f>
        <v>0</v>
      </c>
    </row>
    <row r="6" spans="1:62">
      <c r="A6" t="s">
        <v>38</v>
      </c>
      <c r="B6" t="s">
        <v>10</v>
      </c>
      <c r="C6" s="9">
        <f>'Historical Data'!C6</f>
        <v>0</v>
      </c>
      <c r="D6" s="9">
        <f>'Historical Data'!D6</f>
        <v>0</v>
      </c>
      <c r="E6" s="9">
        <f>'Historical Data'!E6</f>
        <v>0</v>
      </c>
      <c r="F6" s="9">
        <f>'Historical Data'!F6</f>
        <v>0</v>
      </c>
      <c r="G6" s="9">
        <f>'Historical Data'!G6</f>
        <v>0</v>
      </c>
      <c r="H6" s="9">
        <f>'Historical Data'!H6</f>
        <v>0</v>
      </c>
      <c r="I6" s="9">
        <f>'Historical Data'!I6</f>
        <v>0</v>
      </c>
      <c r="J6" s="9">
        <f>'Historical Data'!J6</f>
        <v>0</v>
      </c>
      <c r="K6" s="9">
        <f>'Historical Data'!K6</f>
        <v>0</v>
      </c>
      <c r="L6" s="9">
        <f>'Historical Data'!L6</f>
        <v>0</v>
      </c>
      <c r="M6" s="9">
        <f>'Historical Data'!M6</f>
        <v>0</v>
      </c>
      <c r="N6" s="9">
        <f>'Historical Data'!N6</f>
        <v>0</v>
      </c>
      <c r="O6" s="9">
        <f>'Historical Data'!O6</f>
        <v>0</v>
      </c>
      <c r="P6" s="9">
        <f>'Historical Data'!P6</f>
        <v>0</v>
      </c>
      <c r="Q6" s="9">
        <f>'Historical Data'!Q6</f>
        <v>0</v>
      </c>
      <c r="R6" s="9">
        <f>'Historical Data'!R6</f>
        <v>0</v>
      </c>
      <c r="S6" s="9">
        <f>'Historical Data'!S6</f>
        <v>0</v>
      </c>
      <c r="T6" s="9">
        <f>'Historical Data'!T6</f>
        <v>0</v>
      </c>
      <c r="U6" s="9">
        <f>'Historical Data'!U6</f>
        <v>0</v>
      </c>
      <c r="V6" s="9">
        <f>'Historical Data'!V6</f>
        <v>0</v>
      </c>
      <c r="W6" s="9">
        <f>'Historical Data'!W6</f>
        <v>0</v>
      </c>
      <c r="X6" s="9">
        <f>'Historical Data'!X6</f>
        <v>0</v>
      </c>
      <c r="Y6" s="9">
        <f>'Historical Data'!Y6</f>
        <v>0</v>
      </c>
      <c r="Z6" s="9">
        <f>'Historical Data'!Z6</f>
        <v>0</v>
      </c>
      <c r="AA6" s="9">
        <f>'Historical Data'!AA6</f>
        <v>0</v>
      </c>
      <c r="AB6" s="9">
        <f>'Historical Data'!AB6</f>
        <v>0</v>
      </c>
      <c r="AC6" s="9">
        <f>'Historical Data'!AC6</f>
        <v>0</v>
      </c>
      <c r="AD6" s="9">
        <f>'Historical Data'!AD6</f>
        <v>0</v>
      </c>
      <c r="AE6" s="9">
        <f>'Historical Data'!AE6</f>
        <v>0</v>
      </c>
      <c r="AF6" s="9">
        <f>'Historical Data'!AF6</f>
        <v>0</v>
      </c>
      <c r="AG6" s="9">
        <f>'Historical Data'!AG6</f>
        <v>0</v>
      </c>
      <c r="AH6" s="9">
        <f>'Historical Data'!AH6</f>
        <v>0</v>
      </c>
      <c r="AI6" s="9">
        <f>'Historical Data'!AI6</f>
        <v>0</v>
      </c>
      <c r="AJ6" s="9">
        <f>'Historical Data'!AJ6</f>
        <v>0</v>
      </c>
      <c r="AK6" s="9">
        <f>'Historical Data'!AK6</f>
        <v>0</v>
      </c>
      <c r="AL6" s="9">
        <f>'Historical Data'!AL6</f>
        <v>0</v>
      </c>
      <c r="AM6" s="9">
        <f>AA6*(1+Unit3_Growth)*ScenarioMult</f>
        <v>0</v>
      </c>
      <c r="AN6" s="9">
        <f>AB6*(1+Unit3_Growth)*ScenarioMult</f>
        <v>0</v>
      </c>
      <c r="AO6" s="9">
        <f>AC6*(1+Unit3_Growth)*ScenarioMult</f>
        <v>0</v>
      </c>
      <c r="AP6" s="9">
        <f>AD6*(1+Unit3_Growth)*ScenarioMult</f>
        <v>0</v>
      </c>
      <c r="AQ6" s="9">
        <f>AE6*(1+Unit3_Growth)*ScenarioMult</f>
        <v>0</v>
      </c>
      <c r="AR6" s="9">
        <f>AF6*(1+Unit3_Growth)*ScenarioMult</f>
        <v>0</v>
      </c>
      <c r="AS6" s="9">
        <f>AG6*(1+Unit3_Growth)*ScenarioMult</f>
        <v>0</v>
      </c>
      <c r="AT6" s="9">
        <f>AH6*(1+Unit3_Growth)*ScenarioMult</f>
        <v>0</v>
      </c>
      <c r="AU6" s="9">
        <f>AI6*(1+Unit3_Growth)*ScenarioMult</f>
        <v>0</v>
      </c>
      <c r="AV6" s="9">
        <f>AJ6*(1+Unit3_Growth)*ScenarioMult</f>
        <v>0</v>
      </c>
      <c r="AW6" s="9">
        <f>AK6*(1+Unit3_Growth)*ScenarioMult</f>
        <v>0</v>
      </c>
      <c r="AX6" s="9">
        <f>AL6*(1+Unit3_Growth)*ScenarioMult</f>
        <v>0</v>
      </c>
      <c r="AY6" s="9">
        <f>AM6*(1+Unit3_Growth)*ScenarioMult</f>
        <v>0</v>
      </c>
      <c r="AZ6" s="9">
        <f>AN6*(1+Unit3_Growth)*ScenarioMult</f>
        <v>0</v>
      </c>
      <c r="BA6" s="9">
        <f>AO6*(1+Unit3_Growth)*ScenarioMult</f>
        <v>0</v>
      </c>
      <c r="BB6" s="9">
        <f>AP6*(1+Unit3_Growth)*ScenarioMult</f>
        <v>0</v>
      </c>
      <c r="BC6" s="9">
        <f>AQ6*(1+Unit3_Growth)*ScenarioMult</f>
        <v>0</v>
      </c>
      <c r="BD6" s="9">
        <f>AR6*(1+Unit3_Growth)*ScenarioMult</f>
        <v>0</v>
      </c>
      <c r="BE6" s="9">
        <f>AS6*(1+Unit3_Growth)*ScenarioMult</f>
        <v>0</v>
      </c>
      <c r="BF6" s="9">
        <f>AT6*(1+Unit3_Growth)*ScenarioMult</f>
        <v>0</v>
      </c>
      <c r="BG6" s="9">
        <f>AU6*(1+Unit3_Growth)*ScenarioMult</f>
        <v>0</v>
      </c>
      <c r="BH6" s="9">
        <f>AV6*(1+Unit3_Growth)*ScenarioMult</f>
        <v>0</v>
      </c>
      <c r="BI6" s="9">
        <f>AW6*(1+Unit3_Growth)*ScenarioMult</f>
        <v>0</v>
      </c>
      <c r="BJ6" s="9">
        <f>AX6*(1+Unit3_Growth)*ScenarioMult</f>
        <v>0</v>
      </c>
    </row>
    <row r="7" spans="1:62">
      <c r="A7" t="s">
        <v>38</v>
      </c>
      <c r="B7" t="s">
        <v>11</v>
      </c>
      <c r="C7" s="9">
        <f>'Historical Data'!C7</f>
        <v>0</v>
      </c>
      <c r="D7" s="9">
        <f>'Historical Data'!D7</f>
        <v>0</v>
      </c>
      <c r="E7" s="9">
        <f>'Historical Data'!E7</f>
        <v>0</v>
      </c>
      <c r="F7" s="9">
        <f>'Historical Data'!F7</f>
        <v>0</v>
      </c>
      <c r="G7" s="9">
        <f>'Historical Data'!G7</f>
        <v>0</v>
      </c>
      <c r="H7" s="9">
        <f>'Historical Data'!H7</f>
        <v>0</v>
      </c>
      <c r="I7" s="9">
        <f>'Historical Data'!I7</f>
        <v>0</v>
      </c>
      <c r="J7" s="9">
        <f>'Historical Data'!J7</f>
        <v>0</v>
      </c>
      <c r="K7" s="9">
        <f>'Historical Data'!K7</f>
        <v>0</v>
      </c>
      <c r="L7" s="9">
        <f>'Historical Data'!L7</f>
        <v>0</v>
      </c>
      <c r="M7" s="9">
        <f>'Historical Data'!M7</f>
        <v>0</v>
      </c>
      <c r="N7" s="9">
        <f>'Historical Data'!N7</f>
        <v>0</v>
      </c>
      <c r="O7" s="9">
        <f>'Historical Data'!O7</f>
        <v>0</v>
      </c>
      <c r="P7" s="9">
        <f>'Historical Data'!P7</f>
        <v>0</v>
      </c>
      <c r="Q7" s="9">
        <f>'Historical Data'!Q7</f>
        <v>0</v>
      </c>
      <c r="R7" s="9">
        <f>'Historical Data'!R7</f>
        <v>0</v>
      </c>
      <c r="S7" s="9">
        <f>'Historical Data'!S7</f>
        <v>0</v>
      </c>
      <c r="T7" s="9">
        <f>'Historical Data'!T7</f>
        <v>0</v>
      </c>
      <c r="U7" s="9">
        <f>'Historical Data'!U7</f>
        <v>0</v>
      </c>
      <c r="V7" s="9">
        <f>'Historical Data'!V7</f>
        <v>0</v>
      </c>
      <c r="W7" s="9">
        <f>'Historical Data'!W7</f>
        <v>0</v>
      </c>
      <c r="X7" s="9">
        <f>'Historical Data'!X7</f>
        <v>0</v>
      </c>
      <c r="Y7" s="9">
        <f>'Historical Data'!Y7</f>
        <v>0</v>
      </c>
      <c r="Z7" s="9">
        <f>'Historical Data'!Z7</f>
        <v>0</v>
      </c>
      <c r="AA7" s="9">
        <f>'Historical Data'!AA7</f>
        <v>0</v>
      </c>
      <c r="AB7" s="9">
        <f>'Historical Data'!AB7</f>
        <v>0</v>
      </c>
      <c r="AC7" s="9">
        <f>'Historical Data'!AC7</f>
        <v>0</v>
      </c>
      <c r="AD7" s="9">
        <f>'Historical Data'!AD7</f>
        <v>0</v>
      </c>
      <c r="AE7" s="9">
        <f>'Historical Data'!AE7</f>
        <v>0</v>
      </c>
      <c r="AF7" s="9">
        <f>'Historical Data'!AF7</f>
        <v>0</v>
      </c>
      <c r="AG7" s="9">
        <f>'Historical Data'!AG7</f>
        <v>0</v>
      </c>
      <c r="AH7" s="9">
        <f>'Historical Data'!AH7</f>
        <v>0</v>
      </c>
      <c r="AI7" s="9">
        <f>'Historical Data'!AI7</f>
        <v>0</v>
      </c>
      <c r="AJ7" s="9">
        <f>'Historical Data'!AJ7</f>
        <v>0</v>
      </c>
      <c r="AK7" s="9">
        <f>'Historical Data'!AK7</f>
        <v>0</v>
      </c>
      <c r="AL7" s="9">
        <f>'Historical Data'!AL7</f>
        <v>0</v>
      </c>
      <c r="AM7" s="9">
        <f>AA7*(1+Unit4_Growth)*ScenarioMult</f>
        <v>0</v>
      </c>
      <c r="AN7" s="9">
        <f>AB7*(1+Unit4_Growth)*ScenarioMult</f>
        <v>0</v>
      </c>
      <c r="AO7" s="9">
        <f>AC7*(1+Unit4_Growth)*ScenarioMult</f>
        <v>0</v>
      </c>
      <c r="AP7" s="9">
        <f>AD7*(1+Unit4_Growth)*ScenarioMult</f>
        <v>0</v>
      </c>
      <c r="AQ7" s="9">
        <f>AE7*(1+Unit4_Growth)*ScenarioMult</f>
        <v>0</v>
      </c>
      <c r="AR7" s="9">
        <f>AF7*(1+Unit4_Growth)*ScenarioMult</f>
        <v>0</v>
      </c>
      <c r="AS7" s="9">
        <f>AG7*(1+Unit4_Growth)*ScenarioMult</f>
        <v>0</v>
      </c>
      <c r="AT7" s="9">
        <f>AH7*(1+Unit4_Growth)*ScenarioMult</f>
        <v>0</v>
      </c>
      <c r="AU7" s="9">
        <f>AI7*(1+Unit4_Growth)*ScenarioMult</f>
        <v>0</v>
      </c>
      <c r="AV7" s="9">
        <f>AJ7*(1+Unit4_Growth)*ScenarioMult</f>
        <v>0</v>
      </c>
      <c r="AW7" s="9">
        <f>AK7*(1+Unit4_Growth)*ScenarioMult</f>
        <v>0</v>
      </c>
      <c r="AX7" s="9">
        <f>AL7*(1+Unit4_Growth)*ScenarioMult</f>
        <v>0</v>
      </c>
      <c r="AY7" s="9">
        <f>AM7*(1+Unit4_Growth)*ScenarioMult</f>
        <v>0</v>
      </c>
      <c r="AZ7" s="9">
        <f>AN7*(1+Unit4_Growth)*ScenarioMult</f>
        <v>0</v>
      </c>
      <c r="BA7" s="9">
        <f>AO7*(1+Unit4_Growth)*ScenarioMult</f>
        <v>0</v>
      </c>
      <c r="BB7" s="9">
        <f>AP7*(1+Unit4_Growth)*ScenarioMult</f>
        <v>0</v>
      </c>
      <c r="BC7" s="9">
        <f>AQ7*(1+Unit4_Growth)*ScenarioMult</f>
        <v>0</v>
      </c>
      <c r="BD7" s="9">
        <f>AR7*(1+Unit4_Growth)*ScenarioMult</f>
        <v>0</v>
      </c>
      <c r="BE7" s="9">
        <f>AS7*(1+Unit4_Growth)*ScenarioMult</f>
        <v>0</v>
      </c>
      <c r="BF7" s="9">
        <f>AT7*(1+Unit4_Growth)*ScenarioMult</f>
        <v>0</v>
      </c>
      <c r="BG7" s="9">
        <f>AU7*(1+Unit4_Growth)*ScenarioMult</f>
        <v>0</v>
      </c>
      <c r="BH7" s="9">
        <f>AV7*(1+Unit4_Growth)*ScenarioMult</f>
        <v>0</v>
      </c>
      <c r="BI7" s="9">
        <f>AW7*(1+Unit4_Growth)*ScenarioMult</f>
        <v>0</v>
      </c>
      <c r="BJ7" s="9">
        <f>AX7*(1+Unit4_Growth)*ScenarioMult</f>
        <v>0</v>
      </c>
    </row>
    <row r="8" spans="1:62">
      <c r="A8" t="s">
        <v>38</v>
      </c>
      <c r="B8" t="s">
        <v>12</v>
      </c>
      <c r="C8" s="9">
        <f>'Historical Data'!C8</f>
        <v>0</v>
      </c>
      <c r="D8" s="9">
        <f>'Historical Data'!D8</f>
        <v>0</v>
      </c>
      <c r="E8" s="9">
        <f>'Historical Data'!E8</f>
        <v>0</v>
      </c>
      <c r="F8" s="9">
        <f>'Historical Data'!F8</f>
        <v>0</v>
      </c>
      <c r="G8" s="9">
        <f>'Historical Data'!G8</f>
        <v>0</v>
      </c>
      <c r="H8" s="9">
        <f>'Historical Data'!H8</f>
        <v>0</v>
      </c>
      <c r="I8" s="9">
        <f>'Historical Data'!I8</f>
        <v>0</v>
      </c>
      <c r="J8" s="9">
        <f>'Historical Data'!J8</f>
        <v>0</v>
      </c>
      <c r="K8" s="9">
        <f>'Historical Data'!K8</f>
        <v>0</v>
      </c>
      <c r="L8" s="9">
        <f>'Historical Data'!L8</f>
        <v>0</v>
      </c>
      <c r="M8" s="9">
        <f>'Historical Data'!M8</f>
        <v>0</v>
      </c>
      <c r="N8" s="9">
        <f>'Historical Data'!N8</f>
        <v>0</v>
      </c>
      <c r="O8" s="9">
        <f>'Historical Data'!O8</f>
        <v>0</v>
      </c>
      <c r="P8" s="9">
        <f>'Historical Data'!P8</f>
        <v>0</v>
      </c>
      <c r="Q8" s="9">
        <f>'Historical Data'!Q8</f>
        <v>0</v>
      </c>
      <c r="R8" s="9">
        <f>'Historical Data'!R8</f>
        <v>0</v>
      </c>
      <c r="S8" s="9">
        <f>'Historical Data'!S8</f>
        <v>0</v>
      </c>
      <c r="T8" s="9">
        <f>'Historical Data'!T8</f>
        <v>0</v>
      </c>
      <c r="U8" s="9">
        <f>'Historical Data'!U8</f>
        <v>0</v>
      </c>
      <c r="V8" s="9">
        <f>'Historical Data'!V8</f>
        <v>0</v>
      </c>
      <c r="W8" s="9">
        <f>'Historical Data'!W8</f>
        <v>0</v>
      </c>
      <c r="X8" s="9">
        <f>'Historical Data'!X8</f>
        <v>0</v>
      </c>
      <c r="Y8" s="9">
        <f>'Historical Data'!Y8</f>
        <v>0</v>
      </c>
      <c r="Z8" s="9">
        <f>'Historical Data'!Z8</f>
        <v>0</v>
      </c>
      <c r="AA8" s="9">
        <f>'Historical Data'!AA8</f>
        <v>0</v>
      </c>
      <c r="AB8" s="9">
        <f>'Historical Data'!AB8</f>
        <v>0</v>
      </c>
      <c r="AC8" s="9">
        <f>'Historical Data'!AC8</f>
        <v>0</v>
      </c>
      <c r="AD8" s="9">
        <f>'Historical Data'!AD8</f>
        <v>0</v>
      </c>
      <c r="AE8" s="9">
        <f>'Historical Data'!AE8</f>
        <v>0</v>
      </c>
      <c r="AF8" s="9">
        <f>'Historical Data'!AF8</f>
        <v>0</v>
      </c>
      <c r="AG8" s="9">
        <f>'Historical Data'!AG8</f>
        <v>0</v>
      </c>
      <c r="AH8" s="9">
        <f>'Historical Data'!AH8</f>
        <v>0</v>
      </c>
      <c r="AI8" s="9">
        <f>'Historical Data'!AI8</f>
        <v>0</v>
      </c>
      <c r="AJ8" s="9">
        <f>'Historical Data'!AJ8</f>
        <v>0</v>
      </c>
      <c r="AK8" s="9">
        <f>'Historical Data'!AK8</f>
        <v>0</v>
      </c>
      <c r="AL8" s="9">
        <f>'Historical Data'!AL8</f>
        <v>0</v>
      </c>
      <c r="AM8" s="9">
        <f>AA8*(1+Unit5_Growth)*ScenarioMult</f>
        <v>0</v>
      </c>
      <c r="AN8" s="9">
        <f>AB8*(1+Unit5_Growth)*ScenarioMult</f>
        <v>0</v>
      </c>
      <c r="AO8" s="9">
        <f>AC8*(1+Unit5_Growth)*ScenarioMult</f>
        <v>0</v>
      </c>
      <c r="AP8" s="9">
        <f>AD8*(1+Unit5_Growth)*ScenarioMult</f>
        <v>0</v>
      </c>
      <c r="AQ8" s="9">
        <f>AE8*(1+Unit5_Growth)*ScenarioMult</f>
        <v>0</v>
      </c>
      <c r="AR8" s="9">
        <f>AF8*(1+Unit5_Growth)*ScenarioMult</f>
        <v>0</v>
      </c>
      <c r="AS8" s="9">
        <f>AG8*(1+Unit5_Growth)*ScenarioMult</f>
        <v>0</v>
      </c>
      <c r="AT8" s="9">
        <f>AH8*(1+Unit5_Growth)*ScenarioMult</f>
        <v>0</v>
      </c>
      <c r="AU8" s="9">
        <f>AI8*(1+Unit5_Growth)*ScenarioMult</f>
        <v>0</v>
      </c>
      <c r="AV8" s="9">
        <f>AJ8*(1+Unit5_Growth)*ScenarioMult</f>
        <v>0</v>
      </c>
      <c r="AW8" s="9">
        <f>AK8*(1+Unit5_Growth)*ScenarioMult</f>
        <v>0</v>
      </c>
      <c r="AX8" s="9">
        <f>AL8*(1+Unit5_Growth)*ScenarioMult</f>
        <v>0</v>
      </c>
      <c r="AY8" s="9">
        <f>AM8*(1+Unit5_Growth)*ScenarioMult</f>
        <v>0</v>
      </c>
      <c r="AZ8" s="9">
        <f>AN8*(1+Unit5_Growth)*ScenarioMult</f>
        <v>0</v>
      </c>
      <c r="BA8" s="9">
        <f>AO8*(1+Unit5_Growth)*ScenarioMult</f>
        <v>0</v>
      </c>
      <c r="BB8" s="9">
        <f>AP8*(1+Unit5_Growth)*ScenarioMult</f>
        <v>0</v>
      </c>
      <c r="BC8" s="9">
        <f>AQ8*(1+Unit5_Growth)*ScenarioMult</f>
        <v>0</v>
      </c>
      <c r="BD8" s="9">
        <f>AR8*(1+Unit5_Growth)*ScenarioMult</f>
        <v>0</v>
      </c>
      <c r="BE8" s="9">
        <f>AS8*(1+Unit5_Growth)*ScenarioMult</f>
        <v>0</v>
      </c>
      <c r="BF8" s="9">
        <f>AT8*(1+Unit5_Growth)*ScenarioMult</f>
        <v>0</v>
      </c>
      <c r="BG8" s="9">
        <f>AU8*(1+Unit5_Growth)*ScenarioMult</f>
        <v>0</v>
      </c>
      <c r="BH8" s="9">
        <f>AV8*(1+Unit5_Growth)*ScenarioMult</f>
        <v>0</v>
      </c>
      <c r="BI8" s="9">
        <f>AW8*(1+Unit5_Growth)*ScenarioMult</f>
        <v>0</v>
      </c>
      <c r="BJ8" s="9">
        <f>AX8*(1+Unit5_Growth)*ScenarioMult</f>
        <v>0</v>
      </c>
    </row>
    <row r="9" spans="1:62">
      <c r="A9" s="10" t="s">
        <v>47</v>
      </c>
      <c r="C9" s="10">
        <f>SUM(C4:C8)</f>
        <v>0</v>
      </c>
      <c r="D9" s="10">
        <f>SUM(D4:D8)</f>
        <v>0</v>
      </c>
      <c r="E9" s="10">
        <f>SUM(E4:E8)</f>
        <v>0</v>
      </c>
      <c r="F9" s="10">
        <f>SUM(F4:F8)</f>
        <v>0</v>
      </c>
      <c r="G9" s="10">
        <f>SUM(G4:G8)</f>
        <v>0</v>
      </c>
      <c r="H9" s="10">
        <f>SUM(H4:H8)</f>
        <v>0</v>
      </c>
      <c r="I9" s="10">
        <f>SUM(I4:I8)</f>
        <v>0</v>
      </c>
      <c r="J9" s="10">
        <f>SUM(J4:J8)</f>
        <v>0</v>
      </c>
      <c r="K9" s="10">
        <f>SUM(K4:K8)</f>
        <v>0</v>
      </c>
      <c r="L9" s="10">
        <f>SUM(L4:L8)</f>
        <v>0</v>
      </c>
      <c r="M9" s="10">
        <f>SUM(M4:M8)</f>
        <v>0</v>
      </c>
      <c r="N9" s="10">
        <f>SUM(N4:N8)</f>
        <v>0</v>
      </c>
      <c r="O9" s="10">
        <f>SUM(O4:O8)</f>
        <v>0</v>
      </c>
      <c r="P9" s="10">
        <f>SUM(P4:P8)</f>
        <v>0</v>
      </c>
      <c r="Q9" s="10">
        <f>SUM(Q4:Q8)</f>
        <v>0</v>
      </c>
      <c r="R9" s="10">
        <f>SUM(R4:R8)</f>
        <v>0</v>
      </c>
      <c r="S9" s="10">
        <f>SUM(S4:S8)</f>
        <v>0</v>
      </c>
      <c r="T9" s="10">
        <f>SUM(T4:T8)</f>
        <v>0</v>
      </c>
      <c r="U9" s="10">
        <f>SUM(U4:U8)</f>
        <v>0</v>
      </c>
      <c r="V9" s="10">
        <f>SUM(V4:V8)</f>
        <v>0</v>
      </c>
      <c r="W9" s="10">
        <f>SUM(W4:W8)</f>
        <v>0</v>
      </c>
      <c r="X9" s="10">
        <f>SUM(X4:X8)</f>
        <v>0</v>
      </c>
      <c r="Y9" s="10">
        <f>SUM(Y4:Y8)</f>
        <v>0</v>
      </c>
      <c r="Z9" s="10">
        <f>SUM(Z4:Z8)</f>
        <v>0</v>
      </c>
      <c r="AA9" s="10">
        <f>SUM(AA4:AA8)</f>
        <v>0</v>
      </c>
      <c r="AB9" s="10">
        <f>SUM(AB4:AB8)</f>
        <v>0</v>
      </c>
      <c r="AC9" s="10">
        <f>SUM(AC4:AC8)</f>
        <v>0</v>
      </c>
      <c r="AD9" s="10">
        <f>SUM(AD4:AD8)</f>
        <v>0</v>
      </c>
      <c r="AE9" s="10">
        <f>SUM(AE4:AE8)</f>
        <v>0</v>
      </c>
      <c r="AF9" s="10">
        <f>SUM(AF4:AF8)</f>
        <v>0</v>
      </c>
      <c r="AG9" s="10">
        <f>SUM(AG4:AG8)</f>
        <v>0</v>
      </c>
      <c r="AH9" s="10">
        <f>SUM(AH4:AH8)</f>
        <v>0</v>
      </c>
      <c r="AI9" s="10">
        <f>SUM(AI4:AI8)</f>
        <v>0</v>
      </c>
      <c r="AJ9" s="10">
        <f>SUM(AJ4:AJ8)</f>
        <v>0</v>
      </c>
      <c r="AK9" s="10">
        <f>SUM(AK4:AK8)</f>
        <v>0</v>
      </c>
      <c r="AL9" s="10">
        <f>SUM(AL4:AL8)</f>
        <v>0</v>
      </c>
      <c r="AM9" s="10">
        <f>SUM(AM4:AM8)</f>
        <v>0</v>
      </c>
      <c r="AN9" s="10">
        <f>SUM(AN4:AN8)</f>
        <v>0</v>
      </c>
      <c r="AO9" s="10">
        <f>SUM(AO4:AO8)</f>
        <v>0</v>
      </c>
      <c r="AP9" s="10">
        <f>SUM(AP4:AP8)</f>
        <v>0</v>
      </c>
      <c r="AQ9" s="10">
        <f>SUM(AQ4:AQ8)</f>
        <v>0</v>
      </c>
      <c r="AR9" s="10">
        <f>SUM(AR4:AR8)</f>
        <v>0</v>
      </c>
      <c r="AS9" s="10">
        <f>SUM(AS4:AS8)</f>
        <v>0</v>
      </c>
      <c r="AT9" s="10">
        <f>SUM(AT4:AT8)</f>
        <v>0</v>
      </c>
      <c r="AU9" s="10">
        <f>SUM(AU4:AU8)</f>
        <v>0</v>
      </c>
      <c r="AV9" s="10">
        <f>SUM(AV4:AV8)</f>
        <v>0</v>
      </c>
      <c r="AW9" s="10">
        <f>SUM(AW4:AW8)</f>
        <v>0</v>
      </c>
      <c r="AX9" s="10">
        <f>SUM(AX4:AX8)</f>
        <v>0</v>
      </c>
      <c r="AY9" s="10">
        <f>SUM(AY4:AY8)</f>
        <v>0</v>
      </c>
      <c r="AZ9" s="10">
        <f>SUM(AZ4:AZ8)</f>
        <v>0</v>
      </c>
      <c r="BA9" s="10">
        <f>SUM(BA4:BA8)</f>
        <v>0</v>
      </c>
      <c r="BB9" s="10">
        <f>SUM(BB4:BB8)</f>
        <v>0</v>
      </c>
      <c r="BC9" s="10">
        <f>SUM(BC4:BC8)</f>
        <v>0</v>
      </c>
      <c r="BD9" s="10">
        <f>SUM(BD4:BD8)</f>
        <v>0</v>
      </c>
      <c r="BE9" s="10">
        <f>SUM(BE4:BE8)</f>
        <v>0</v>
      </c>
      <c r="BF9" s="10">
        <f>SUM(BF4:BF8)</f>
        <v>0</v>
      </c>
      <c r="BG9" s="10">
        <f>SUM(BG4:BG8)</f>
        <v>0</v>
      </c>
      <c r="BH9" s="10">
        <f>SUM(BH4:BH8)</f>
        <v>0</v>
      </c>
      <c r="BI9" s="10">
        <f>SUM(BI4:BI8)</f>
        <v>0</v>
      </c>
      <c r="BJ9" s="10">
        <f>SUM(BJ4:BJ8)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J1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20.7109375" customWidth="1"/>
    <col min="3" max="53" width="12.7109375" customWidth="1"/>
  </cols>
  <sheetData>
    <row r="1" spans="1:62">
      <c r="A1" s="1" t="s">
        <v>48</v>
      </c>
    </row>
    <row r="2" spans="1:62">
      <c r="C2" s="6">
        <v>44197</v>
      </c>
      <c r="D2" s="6">
        <v>44228</v>
      </c>
      <c r="E2" s="6">
        <v>44256</v>
      </c>
      <c r="F2" s="6">
        <v>44287</v>
      </c>
      <c r="G2" s="6">
        <v>44317</v>
      </c>
      <c r="H2" s="6">
        <v>44348</v>
      </c>
      <c r="I2" s="6">
        <v>44378</v>
      </c>
      <c r="J2" s="6">
        <v>44409</v>
      </c>
      <c r="K2" s="6">
        <v>44440</v>
      </c>
      <c r="L2" s="6">
        <v>44470</v>
      </c>
      <c r="M2" s="6">
        <v>44501</v>
      </c>
      <c r="N2" s="6">
        <v>44531</v>
      </c>
      <c r="O2" s="6">
        <v>44562</v>
      </c>
      <c r="P2" s="6">
        <v>44593</v>
      </c>
      <c r="Q2" s="6">
        <v>44621</v>
      </c>
      <c r="R2" s="6">
        <v>44652</v>
      </c>
      <c r="S2" s="6">
        <v>44682</v>
      </c>
      <c r="T2" s="6">
        <v>44713</v>
      </c>
      <c r="U2" s="6">
        <v>44743</v>
      </c>
      <c r="V2" s="6">
        <v>44774</v>
      </c>
      <c r="W2" s="6">
        <v>44805</v>
      </c>
      <c r="X2" s="6">
        <v>44835</v>
      </c>
      <c r="Y2" s="6">
        <v>44866</v>
      </c>
      <c r="Z2" s="6">
        <v>44896</v>
      </c>
      <c r="AA2" s="6">
        <v>44927</v>
      </c>
      <c r="AB2" s="6">
        <v>44958</v>
      </c>
      <c r="AC2" s="6">
        <v>44986</v>
      </c>
      <c r="AD2" s="6">
        <v>45017</v>
      </c>
      <c r="AE2" s="6">
        <v>45047</v>
      </c>
      <c r="AF2" s="6">
        <v>45078</v>
      </c>
      <c r="AG2" s="6">
        <v>45108</v>
      </c>
      <c r="AH2" s="6">
        <v>45139</v>
      </c>
      <c r="AI2" s="6">
        <v>45170</v>
      </c>
      <c r="AJ2" s="6">
        <v>45200</v>
      </c>
      <c r="AK2" s="6">
        <v>45231</v>
      </c>
      <c r="AL2" s="6">
        <v>45261</v>
      </c>
      <c r="AM2" s="6">
        <v>45292</v>
      </c>
      <c r="AN2" s="6">
        <v>45323</v>
      </c>
      <c r="AO2" s="6">
        <v>45352</v>
      </c>
      <c r="AP2" s="6">
        <v>45383</v>
      </c>
      <c r="AQ2" s="6">
        <v>45413</v>
      </c>
      <c r="AR2" s="6">
        <v>45444</v>
      </c>
      <c r="AS2" s="6">
        <v>45474</v>
      </c>
      <c r="AT2" s="6">
        <v>45505</v>
      </c>
      <c r="AU2" s="6">
        <v>45536</v>
      </c>
      <c r="AV2" s="6">
        <v>45566</v>
      </c>
      <c r="AW2" s="6">
        <v>45597</v>
      </c>
      <c r="AX2" s="6">
        <v>45627</v>
      </c>
      <c r="AY2" s="6">
        <v>45658</v>
      </c>
      <c r="AZ2" s="6">
        <v>45689</v>
      </c>
      <c r="BA2" s="6">
        <v>45717</v>
      </c>
      <c r="BB2" s="6">
        <v>45748</v>
      </c>
      <c r="BC2" s="6">
        <v>45778</v>
      </c>
      <c r="BD2" s="6">
        <v>45809</v>
      </c>
      <c r="BE2" s="6">
        <v>45839</v>
      </c>
      <c r="BF2" s="6">
        <v>45870</v>
      </c>
      <c r="BG2" s="6">
        <v>45901</v>
      </c>
      <c r="BH2" s="6">
        <v>45931</v>
      </c>
      <c r="BI2" s="6">
        <v>45962</v>
      </c>
      <c r="BJ2" s="6">
        <v>45992</v>
      </c>
    </row>
    <row r="3" spans="1:62">
      <c r="A3" s="2" t="s">
        <v>34</v>
      </c>
      <c r="B3" s="2" t="s">
        <v>35</v>
      </c>
      <c r="C3" s="7" t="s">
        <v>36</v>
      </c>
      <c r="D3" s="7" t="s">
        <v>36</v>
      </c>
      <c r="E3" s="7" t="s">
        <v>36</v>
      </c>
      <c r="F3" s="7" t="s">
        <v>36</v>
      </c>
      <c r="G3" s="7" t="s">
        <v>36</v>
      </c>
      <c r="H3" s="7" t="s">
        <v>36</v>
      </c>
      <c r="I3" s="7" t="s">
        <v>36</v>
      </c>
      <c r="J3" s="7" t="s">
        <v>36</v>
      </c>
      <c r="K3" s="7" t="s">
        <v>36</v>
      </c>
      <c r="L3" s="7" t="s">
        <v>36</v>
      </c>
      <c r="M3" s="7" t="s">
        <v>36</v>
      </c>
      <c r="N3" s="7" t="s">
        <v>36</v>
      </c>
      <c r="O3" s="7" t="s">
        <v>36</v>
      </c>
      <c r="P3" s="7" t="s">
        <v>36</v>
      </c>
      <c r="Q3" s="7" t="s">
        <v>36</v>
      </c>
      <c r="R3" s="7" t="s">
        <v>36</v>
      </c>
      <c r="S3" s="7" t="s">
        <v>36</v>
      </c>
      <c r="T3" s="7" t="s">
        <v>36</v>
      </c>
      <c r="U3" s="7" t="s">
        <v>36</v>
      </c>
      <c r="V3" s="7" t="s">
        <v>36</v>
      </c>
      <c r="W3" s="7" t="s">
        <v>36</v>
      </c>
      <c r="X3" s="7" t="s">
        <v>36</v>
      </c>
      <c r="Y3" s="7" t="s">
        <v>36</v>
      </c>
      <c r="Z3" s="7" t="s">
        <v>36</v>
      </c>
      <c r="AA3" s="7" t="s">
        <v>36</v>
      </c>
      <c r="AB3" s="7" t="s">
        <v>36</v>
      </c>
      <c r="AC3" s="7" t="s">
        <v>36</v>
      </c>
      <c r="AD3" s="7" t="s">
        <v>36</v>
      </c>
      <c r="AE3" s="7" t="s">
        <v>36</v>
      </c>
      <c r="AF3" s="7" t="s">
        <v>36</v>
      </c>
      <c r="AG3" s="7" t="s">
        <v>36</v>
      </c>
      <c r="AH3" s="7" t="s">
        <v>36</v>
      </c>
      <c r="AI3" s="7" t="s">
        <v>36</v>
      </c>
      <c r="AJ3" s="7" t="s">
        <v>36</v>
      </c>
      <c r="AK3" s="7" t="s">
        <v>36</v>
      </c>
      <c r="AL3" s="7" t="s">
        <v>36</v>
      </c>
      <c r="AM3" s="7" t="s">
        <v>37</v>
      </c>
      <c r="AN3" s="7" t="s">
        <v>37</v>
      </c>
      <c r="AO3" s="7" t="s">
        <v>37</v>
      </c>
      <c r="AP3" s="7" t="s">
        <v>37</v>
      </c>
      <c r="AQ3" s="7" t="s">
        <v>37</v>
      </c>
      <c r="AR3" s="7" t="s">
        <v>37</v>
      </c>
      <c r="AS3" s="7" t="s">
        <v>37</v>
      </c>
      <c r="AT3" s="7" t="s">
        <v>37</v>
      </c>
      <c r="AU3" s="7" t="s">
        <v>37</v>
      </c>
      <c r="AV3" s="7" t="s">
        <v>37</v>
      </c>
      <c r="AW3" s="7" t="s">
        <v>37</v>
      </c>
      <c r="AX3" s="7" t="s">
        <v>37</v>
      </c>
      <c r="AY3" s="7" t="s">
        <v>37</v>
      </c>
      <c r="AZ3" s="7" t="s">
        <v>37</v>
      </c>
      <c r="BA3" s="7" t="s">
        <v>37</v>
      </c>
      <c r="BB3" s="7" t="s">
        <v>37</v>
      </c>
      <c r="BC3" s="7" t="s">
        <v>37</v>
      </c>
      <c r="BD3" s="7" t="s">
        <v>37</v>
      </c>
      <c r="BE3" s="7" t="s">
        <v>37</v>
      </c>
      <c r="BF3" s="7" t="s">
        <v>37</v>
      </c>
      <c r="BG3" s="7" t="s">
        <v>37</v>
      </c>
      <c r="BH3" s="7" t="s">
        <v>37</v>
      </c>
      <c r="BI3" s="7" t="s">
        <v>37</v>
      </c>
      <c r="BJ3" s="7" t="s">
        <v>37</v>
      </c>
    </row>
    <row r="4" spans="1:62">
      <c r="A4" t="s">
        <v>39</v>
      </c>
      <c r="B4" t="s">
        <v>8</v>
      </c>
      <c r="C4" s="9">
        <f>'Historical Data'!C5</f>
        <v>0</v>
      </c>
      <c r="D4" s="9">
        <f>'Historical Data'!D5</f>
        <v>0</v>
      </c>
      <c r="E4" s="9">
        <f>'Historical Data'!E5</f>
        <v>0</v>
      </c>
      <c r="F4" s="9">
        <f>'Historical Data'!F5</f>
        <v>0</v>
      </c>
      <c r="G4" s="9">
        <f>'Historical Data'!G5</f>
        <v>0</v>
      </c>
      <c r="H4" s="9">
        <f>'Historical Data'!H5</f>
        <v>0</v>
      </c>
      <c r="I4" s="9">
        <f>'Historical Data'!I5</f>
        <v>0</v>
      </c>
      <c r="J4" s="9">
        <f>'Historical Data'!J5</f>
        <v>0</v>
      </c>
      <c r="K4" s="9">
        <f>'Historical Data'!K5</f>
        <v>0</v>
      </c>
      <c r="L4" s="9">
        <f>'Historical Data'!L5</f>
        <v>0</v>
      </c>
      <c r="M4" s="9">
        <f>'Historical Data'!M5</f>
        <v>0</v>
      </c>
      <c r="N4" s="9">
        <f>'Historical Data'!N5</f>
        <v>0</v>
      </c>
      <c r="O4" s="9">
        <f>'Historical Data'!O5</f>
        <v>0</v>
      </c>
      <c r="P4" s="9">
        <f>'Historical Data'!P5</f>
        <v>0</v>
      </c>
      <c r="Q4" s="9">
        <f>'Historical Data'!Q5</f>
        <v>0</v>
      </c>
      <c r="R4" s="9">
        <f>'Historical Data'!R5</f>
        <v>0</v>
      </c>
      <c r="S4" s="9">
        <f>'Historical Data'!S5</f>
        <v>0</v>
      </c>
      <c r="T4" s="9">
        <f>'Historical Data'!T5</f>
        <v>0</v>
      </c>
      <c r="U4" s="9">
        <f>'Historical Data'!U5</f>
        <v>0</v>
      </c>
      <c r="V4" s="9">
        <f>'Historical Data'!V5</f>
        <v>0</v>
      </c>
      <c r="W4" s="9">
        <f>'Historical Data'!W5</f>
        <v>0</v>
      </c>
      <c r="X4" s="9">
        <f>'Historical Data'!X5</f>
        <v>0</v>
      </c>
      <c r="Y4" s="9">
        <f>'Historical Data'!Y5</f>
        <v>0</v>
      </c>
      <c r="Z4" s="9">
        <f>'Historical Data'!Z5</f>
        <v>0</v>
      </c>
      <c r="AA4" s="9">
        <f>'Historical Data'!AA5</f>
        <v>0</v>
      </c>
      <c r="AB4" s="9">
        <f>'Historical Data'!AB5</f>
        <v>0</v>
      </c>
      <c r="AC4" s="9">
        <f>'Historical Data'!AC5</f>
        <v>0</v>
      </c>
      <c r="AD4" s="9">
        <f>'Historical Data'!AD5</f>
        <v>0</v>
      </c>
      <c r="AE4" s="9">
        <f>'Historical Data'!AE5</f>
        <v>0</v>
      </c>
      <c r="AF4" s="9">
        <f>'Historical Data'!AF5</f>
        <v>0</v>
      </c>
      <c r="AG4" s="9">
        <f>'Historical Data'!AG5</f>
        <v>0</v>
      </c>
      <c r="AH4" s="9">
        <f>'Historical Data'!AH5</f>
        <v>0</v>
      </c>
      <c r="AI4" s="9">
        <f>'Historical Data'!AI5</f>
        <v>0</v>
      </c>
      <c r="AJ4" s="9">
        <f>'Historical Data'!AJ5</f>
        <v>0</v>
      </c>
      <c r="AK4" s="9">
        <f>'Historical Data'!AK5</f>
        <v>0</v>
      </c>
      <c r="AL4" s="9">
        <f>'Historical Data'!AL5</f>
        <v>0</v>
      </c>
      <c r="AM4" s="9">
        <f>'Revenue Forecast'!AM4*Driver_COGS</f>
        <v>0</v>
      </c>
      <c r="AN4" s="9">
        <f>'Revenue Forecast'!AN4*Driver_COGS</f>
        <v>0</v>
      </c>
      <c r="AO4" s="9">
        <f>'Revenue Forecast'!AO4*Driver_COGS</f>
        <v>0</v>
      </c>
      <c r="AP4" s="9">
        <f>'Revenue Forecast'!AP4*Driver_COGS</f>
        <v>0</v>
      </c>
      <c r="AQ4" s="9">
        <f>'Revenue Forecast'!AQ4*Driver_COGS</f>
        <v>0</v>
      </c>
      <c r="AR4" s="9">
        <f>'Revenue Forecast'!AR4*Driver_COGS</f>
        <v>0</v>
      </c>
      <c r="AS4" s="9">
        <f>'Revenue Forecast'!AS4*Driver_COGS</f>
        <v>0</v>
      </c>
      <c r="AT4" s="9">
        <f>'Revenue Forecast'!AT4*Driver_COGS</f>
        <v>0</v>
      </c>
      <c r="AU4" s="9">
        <f>'Revenue Forecast'!AU4*Driver_COGS</f>
        <v>0</v>
      </c>
      <c r="AV4" s="9">
        <f>'Revenue Forecast'!AV4*Driver_COGS</f>
        <v>0</v>
      </c>
      <c r="AW4" s="9">
        <f>'Revenue Forecast'!AW4*Driver_COGS</f>
        <v>0</v>
      </c>
      <c r="AX4" s="9">
        <f>'Revenue Forecast'!AX4*Driver_COGS</f>
        <v>0</v>
      </c>
      <c r="AY4" s="9">
        <f>'Revenue Forecast'!AY4*Driver_COGS</f>
        <v>0</v>
      </c>
      <c r="AZ4" s="9">
        <f>'Revenue Forecast'!AZ4*Driver_COGS</f>
        <v>0</v>
      </c>
      <c r="BA4" s="9">
        <f>'Revenue Forecast'!BA4*Driver_COGS</f>
        <v>0</v>
      </c>
      <c r="BB4" s="9">
        <f>'Revenue Forecast'!BB4*Driver_COGS</f>
        <v>0</v>
      </c>
      <c r="BC4" s="9">
        <f>'Revenue Forecast'!BC4*Driver_COGS</f>
        <v>0</v>
      </c>
      <c r="BD4" s="9">
        <f>'Revenue Forecast'!BD4*Driver_COGS</f>
        <v>0</v>
      </c>
      <c r="BE4" s="9">
        <f>'Revenue Forecast'!BE4*Driver_COGS</f>
        <v>0</v>
      </c>
      <c r="BF4" s="9">
        <f>'Revenue Forecast'!BF4*Driver_COGS</f>
        <v>0</v>
      </c>
      <c r="BG4" s="9">
        <f>'Revenue Forecast'!BG4*Driver_COGS</f>
        <v>0</v>
      </c>
      <c r="BH4" s="9">
        <f>'Revenue Forecast'!BH4*Driver_COGS</f>
        <v>0</v>
      </c>
      <c r="BI4" s="9">
        <f>'Revenue Forecast'!BI4*Driver_COGS</f>
        <v>0</v>
      </c>
      <c r="BJ4" s="9">
        <f>'Revenue Forecast'!BJ4*Driver_COGS</f>
        <v>0</v>
      </c>
    </row>
    <row r="5" spans="1:62">
      <c r="A5" t="s">
        <v>39</v>
      </c>
      <c r="B5" t="s">
        <v>9</v>
      </c>
      <c r="C5" s="9">
        <f>'Historical Data'!C13</f>
        <v>0</v>
      </c>
      <c r="D5" s="9">
        <f>'Historical Data'!D13</f>
        <v>0</v>
      </c>
      <c r="E5" s="9">
        <f>'Historical Data'!E13</f>
        <v>0</v>
      </c>
      <c r="F5" s="9">
        <f>'Historical Data'!F13</f>
        <v>0</v>
      </c>
      <c r="G5" s="9">
        <f>'Historical Data'!G13</f>
        <v>0</v>
      </c>
      <c r="H5" s="9">
        <f>'Historical Data'!H13</f>
        <v>0</v>
      </c>
      <c r="I5" s="9">
        <f>'Historical Data'!I13</f>
        <v>0</v>
      </c>
      <c r="J5" s="9">
        <f>'Historical Data'!J13</f>
        <v>0</v>
      </c>
      <c r="K5" s="9">
        <f>'Historical Data'!K13</f>
        <v>0</v>
      </c>
      <c r="L5" s="9">
        <f>'Historical Data'!L13</f>
        <v>0</v>
      </c>
      <c r="M5" s="9">
        <f>'Historical Data'!M13</f>
        <v>0</v>
      </c>
      <c r="N5" s="9">
        <f>'Historical Data'!N13</f>
        <v>0</v>
      </c>
      <c r="O5" s="9">
        <f>'Historical Data'!O13</f>
        <v>0</v>
      </c>
      <c r="P5" s="9">
        <f>'Historical Data'!P13</f>
        <v>0</v>
      </c>
      <c r="Q5" s="9">
        <f>'Historical Data'!Q13</f>
        <v>0</v>
      </c>
      <c r="R5" s="9">
        <f>'Historical Data'!R13</f>
        <v>0</v>
      </c>
      <c r="S5" s="9">
        <f>'Historical Data'!S13</f>
        <v>0</v>
      </c>
      <c r="T5" s="9">
        <f>'Historical Data'!T13</f>
        <v>0</v>
      </c>
      <c r="U5" s="9">
        <f>'Historical Data'!U13</f>
        <v>0</v>
      </c>
      <c r="V5" s="9">
        <f>'Historical Data'!V13</f>
        <v>0</v>
      </c>
      <c r="W5" s="9">
        <f>'Historical Data'!W13</f>
        <v>0</v>
      </c>
      <c r="X5" s="9">
        <f>'Historical Data'!X13</f>
        <v>0</v>
      </c>
      <c r="Y5" s="9">
        <f>'Historical Data'!Y13</f>
        <v>0</v>
      </c>
      <c r="Z5" s="9">
        <f>'Historical Data'!Z13</f>
        <v>0</v>
      </c>
      <c r="AA5" s="9">
        <f>'Historical Data'!AA13</f>
        <v>0</v>
      </c>
      <c r="AB5" s="9">
        <f>'Historical Data'!AB13</f>
        <v>0</v>
      </c>
      <c r="AC5" s="9">
        <f>'Historical Data'!AC13</f>
        <v>0</v>
      </c>
      <c r="AD5" s="9">
        <f>'Historical Data'!AD13</f>
        <v>0</v>
      </c>
      <c r="AE5" s="9">
        <f>'Historical Data'!AE13</f>
        <v>0</v>
      </c>
      <c r="AF5" s="9">
        <f>'Historical Data'!AF13</f>
        <v>0</v>
      </c>
      <c r="AG5" s="9">
        <f>'Historical Data'!AG13</f>
        <v>0</v>
      </c>
      <c r="AH5" s="9">
        <f>'Historical Data'!AH13</f>
        <v>0</v>
      </c>
      <c r="AI5" s="9">
        <f>'Historical Data'!AI13</f>
        <v>0</v>
      </c>
      <c r="AJ5" s="9">
        <f>'Historical Data'!AJ13</f>
        <v>0</v>
      </c>
      <c r="AK5" s="9">
        <f>'Historical Data'!AK13</f>
        <v>0</v>
      </c>
      <c r="AL5" s="9">
        <f>'Historical Data'!AL13</f>
        <v>0</v>
      </c>
      <c r="AM5" s="9">
        <f>'Revenue Forecast'!AM5*Driver_COGS</f>
        <v>0</v>
      </c>
      <c r="AN5" s="9">
        <f>'Revenue Forecast'!AN5*Driver_COGS</f>
        <v>0</v>
      </c>
      <c r="AO5" s="9">
        <f>'Revenue Forecast'!AO5*Driver_COGS</f>
        <v>0</v>
      </c>
      <c r="AP5" s="9">
        <f>'Revenue Forecast'!AP5*Driver_COGS</f>
        <v>0</v>
      </c>
      <c r="AQ5" s="9">
        <f>'Revenue Forecast'!AQ5*Driver_COGS</f>
        <v>0</v>
      </c>
      <c r="AR5" s="9">
        <f>'Revenue Forecast'!AR5*Driver_COGS</f>
        <v>0</v>
      </c>
      <c r="AS5" s="9">
        <f>'Revenue Forecast'!AS5*Driver_COGS</f>
        <v>0</v>
      </c>
      <c r="AT5" s="9">
        <f>'Revenue Forecast'!AT5*Driver_COGS</f>
        <v>0</v>
      </c>
      <c r="AU5" s="9">
        <f>'Revenue Forecast'!AU5*Driver_COGS</f>
        <v>0</v>
      </c>
      <c r="AV5" s="9">
        <f>'Revenue Forecast'!AV5*Driver_COGS</f>
        <v>0</v>
      </c>
      <c r="AW5" s="9">
        <f>'Revenue Forecast'!AW5*Driver_COGS</f>
        <v>0</v>
      </c>
      <c r="AX5" s="9">
        <f>'Revenue Forecast'!AX5*Driver_COGS</f>
        <v>0</v>
      </c>
      <c r="AY5" s="9">
        <f>'Revenue Forecast'!AY5*Driver_COGS</f>
        <v>0</v>
      </c>
      <c r="AZ5" s="9">
        <f>'Revenue Forecast'!AZ5*Driver_COGS</f>
        <v>0</v>
      </c>
      <c r="BA5" s="9">
        <f>'Revenue Forecast'!BA5*Driver_COGS</f>
        <v>0</v>
      </c>
      <c r="BB5" s="9">
        <f>'Revenue Forecast'!BB5*Driver_COGS</f>
        <v>0</v>
      </c>
      <c r="BC5" s="9">
        <f>'Revenue Forecast'!BC5*Driver_COGS</f>
        <v>0</v>
      </c>
      <c r="BD5" s="9">
        <f>'Revenue Forecast'!BD5*Driver_COGS</f>
        <v>0</v>
      </c>
      <c r="BE5" s="9">
        <f>'Revenue Forecast'!BE5*Driver_COGS</f>
        <v>0</v>
      </c>
      <c r="BF5" s="9">
        <f>'Revenue Forecast'!BF5*Driver_COGS</f>
        <v>0</v>
      </c>
      <c r="BG5" s="9">
        <f>'Revenue Forecast'!BG5*Driver_COGS</f>
        <v>0</v>
      </c>
      <c r="BH5" s="9">
        <f>'Revenue Forecast'!BH5*Driver_COGS</f>
        <v>0</v>
      </c>
      <c r="BI5" s="9">
        <f>'Revenue Forecast'!BI5*Driver_COGS</f>
        <v>0</v>
      </c>
      <c r="BJ5" s="9">
        <f>'Revenue Forecast'!BJ5*Driver_COGS</f>
        <v>0</v>
      </c>
    </row>
    <row r="6" spans="1:62">
      <c r="A6" t="s">
        <v>39</v>
      </c>
      <c r="B6" t="s">
        <v>10</v>
      </c>
      <c r="C6" s="9">
        <f>'Historical Data'!C21</f>
        <v>0</v>
      </c>
      <c r="D6" s="9">
        <f>'Historical Data'!D21</f>
        <v>0</v>
      </c>
      <c r="E6" s="9">
        <f>'Historical Data'!E21</f>
        <v>0</v>
      </c>
      <c r="F6" s="9">
        <f>'Historical Data'!F21</f>
        <v>0</v>
      </c>
      <c r="G6" s="9">
        <f>'Historical Data'!G21</f>
        <v>0</v>
      </c>
      <c r="H6" s="9">
        <f>'Historical Data'!H21</f>
        <v>0</v>
      </c>
      <c r="I6" s="9">
        <f>'Historical Data'!I21</f>
        <v>0</v>
      </c>
      <c r="J6" s="9">
        <f>'Historical Data'!J21</f>
        <v>0</v>
      </c>
      <c r="K6" s="9">
        <f>'Historical Data'!K21</f>
        <v>0</v>
      </c>
      <c r="L6" s="9">
        <f>'Historical Data'!L21</f>
        <v>0</v>
      </c>
      <c r="M6" s="9">
        <f>'Historical Data'!M21</f>
        <v>0</v>
      </c>
      <c r="N6" s="9">
        <f>'Historical Data'!N21</f>
        <v>0</v>
      </c>
      <c r="O6" s="9">
        <f>'Historical Data'!O21</f>
        <v>0</v>
      </c>
      <c r="P6" s="9">
        <f>'Historical Data'!P21</f>
        <v>0</v>
      </c>
      <c r="Q6" s="9">
        <f>'Historical Data'!Q21</f>
        <v>0</v>
      </c>
      <c r="R6" s="9">
        <f>'Historical Data'!R21</f>
        <v>0</v>
      </c>
      <c r="S6" s="9">
        <f>'Historical Data'!S21</f>
        <v>0</v>
      </c>
      <c r="T6" s="9">
        <f>'Historical Data'!T21</f>
        <v>0</v>
      </c>
      <c r="U6" s="9">
        <f>'Historical Data'!U21</f>
        <v>0</v>
      </c>
      <c r="V6" s="9">
        <f>'Historical Data'!V21</f>
        <v>0</v>
      </c>
      <c r="W6" s="9">
        <f>'Historical Data'!W21</f>
        <v>0</v>
      </c>
      <c r="X6" s="9">
        <f>'Historical Data'!X21</f>
        <v>0</v>
      </c>
      <c r="Y6" s="9">
        <f>'Historical Data'!Y21</f>
        <v>0</v>
      </c>
      <c r="Z6" s="9">
        <f>'Historical Data'!Z21</f>
        <v>0</v>
      </c>
      <c r="AA6" s="9">
        <f>'Historical Data'!AA21</f>
        <v>0</v>
      </c>
      <c r="AB6" s="9">
        <f>'Historical Data'!AB21</f>
        <v>0</v>
      </c>
      <c r="AC6" s="9">
        <f>'Historical Data'!AC21</f>
        <v>0</v>
      </c>
      <c r="AD6" s="9">
        <f>'Historical Data'!AD21</f>
        <v>0</v>
      </c>
      <c r="AE6" s="9">
        <f>'Historical Data'!AE21</f>
        <v>0</v>
      </c>
      <c r="AF6" s="9">
        <f>'Historical Data'!AF21</f>
        <v>0</v>
      </c>
      <c r="AG6" s="9">
        <f>'Historical Data'!AG21</f>
        <v>0</v>
      </c>
      <c r="AH6" s="9">
        <f>'Historical Data'!AH21</f>
        <v>0</v>
      </c>
      <c r="AI6" s="9">
        <f>'Historical Data'!AI21</f>
        <v>0</v>
      </c>
      <c r="AJ6" s="9">
        <f>'Historical Data'!AJ21</f>
        <v>0</v>
      </c>
      <c r="AK6" s="9">
        <f>'Historical Data'!AK21</f>
        <v>0</v>
      </c>
      <c r="AL6" s="9">
        <f>'Historical Data'!AL21</f>
        <v>0</v>
      </c>
      <c r="AM6" s="9">
        <f>'Revenue Forecast'!AM6*Driver_COGS</f>
        <v>0</v>
      </c>
      <c r="AN6" s="9">
        <f>'Revenue Forecast'!AN6*Driver_COGS</f>
        <v>0</v>
      </c>
      <c r="AO6" s="9">
        <f>'Revenue Forecast'!AO6*Driver_COGS</f>
        <v>0</v>
      </c>
      <c r="AP6" s="9">
        <f>'Revenue Forecast'!AP6*Driver_COGS</f>
        <v>0</v>
      </c>
      <c r="AQ6" s="9">
        <f>'Revenue Forecast'!AQ6*Driver_COGS</f>
        <v>0</v>
      </c>
      <c r="AR6" s="9">
        <f>'Revenue Forecast'!AR6*Driver_COGS</f>
        <v>0</v>
      </c>
      <c r="AS6" s="9">
        <f>'Revenue Forecast'!AS6*Driver_COGS</f>
        <v>0</v>
      </c>
      <c r="AT6" s="9">
        <f>'Revenue Forecast'!AT6*Driver_COGS</f>
        <v>0</v>
      </c>
      <c r="AU6" s="9">
        <f>'Revenue Forecast'!AU6*Driver_COGS</f>
        <v>0</v>
      </c>
      <c r="AV6" s="9">
        <f>'Revenue Forecast'!AV6*Driver_COGS</f>
        <v>0</v>
      </c>
      <c r="AW6" s="9">
        <f>'Revenue Forecast'!AW6*Driver_COGS</f>
        <v>0</v>
      </c>
      <c r="AX6" s="9">
        <f>'Revenue Forecast'!AX6*Driver_COGS</f>
        <v>0</v>
      </c>
      <c r="AY6" s="9">
        <f>'Revenue Forecast'!AY6*Driver_COGS</f>
        <v>0</v>
      </c>
      <c r="AZ6" s="9">
        <f>'Revenue Forecast'!AZ6*Driver_COGS</f>
        <v>0</v>
      </c>
      <c r="BA6" s="9">
        <f>'Revenue Forecast'!BA6*Driver_COGS</f>
        <v>0</v>
      </c>
      <c r="BB6" s="9">
        <f>'Revenue Forecast'!BB6*Driver_COGS</f>
        <v>0</v>
      </c>
      <c r="BC6" s="9">
        <f>'Revenue Forecast'!BC6*Driver_COGS</f>
        <v>0</v>
      </c>
      <c r="BD6" s="9">
        <f>'Revenue Forecast'!BD6*Driver_COGS</f>
        <v>0</v>
      </c>
      <c r="BE6" s="9">
        <f>'Revenue Forecast'!BE6*Driver_COGS</f>
        <v>0</v>
      </c>
      <c r="BF6" s="9">
        <f>'Revenue Forecast'!BF6*Driver_COGS</f>
        <v>0</v>
      </c>
      <c r="BG6" s="9">
        <f>'Revenue Forecast'!BG6*Driver_COGS</f>
        <v>0</v>
      </c>
      <c r="BH6" s="9">
        <f>'Revenue Forecast'!BH6*Driver_COGS</f>
        <v>0</v>
      </c>
      <c r="BI6" s="9">
        <f>'Revenue Forecast'!BI6*Driver_COGS</f>
        <v>0</v>
      </c>
      <c r="BJ6" s="9">
        <f>'Revenue Forecast'!BJ6*Driver_COGS</f>
        <v>0</v>
      </c>
    </row>
    <row r="7" spans="1:62">
      <c r="A7" t="s">
        <v>39</v>
      </c>
      <c r="B7" t="s">
        <v>11</v>
      </c>
      <c r="C7" s="9">
        <f>'Historical Data'!C29</f>
        <v>0</v>
      </c>
      <c r="D7" s="9">
        <f>'Historical Data'!D29</f>
        <v>0</v>
      </c>
      <c r="E7" s="9">
        <f>'Historical Data'!E29</f>
        <v>0</v>
      </c>
      <c r="F7" s="9">
        <f>'Historical Data'!F29</f>
        <v>0</v>
      </c>
      <c r="G7" s="9">
        <f>'Historical Data'!G29</f>
        <v>0</v>
      </c>
      <c r="H7" s="9">
        <f>'Historical Data'!H29</f>
        <v>0</v>
      </c>
      <c r="I7" s="9">
        <f>'Historical Data'!I29</f>
        <v>0</v>
      </c>
      <c r="J7" s="9">
        <f>'Historical Data'!J29</f>
        <v>0</v>
      </c>
      <c r="K7" s="9">
        <f>'Historical Data'!K29</f>
        <v>0</v>
      </c>
      <c r="L7" s="9">
        <f>'Historical Data'!L29</f>
        <v>0</v>
      </c>
      <c r="M7" s="9">
        <f>'Historical Data'!M29</f>
        <v>0</v>
      </c>
      <c r="N7" s="9">
        <f>'Historical Data'!N29</f>
        <v>0</v>
      </c>
      <c r="O7" s="9">
        <f>'Historical Data'!O29</f>
        <v>0</v>
      </c>
      <c r="P7" s="9">
        <f>'Historical Data'!P29</f>
        <v>0</v>
      </c>
      <c r="Q7" s="9">
        <f>'Historical Data'!Q29</f>
        <v>0</v>
      </c>
      <c r="R7" s="9">
        <f>'Historical Data'!R29</f>
        <v>0</v>
      </c>
      <c r="S7" s="9">
        <f>'Historical Data'!S29</f>
        <v>0</v>
      </c>
      <c r="T7" s="9">
        <f>'Historical Data'!T29</f>
        <v>0</v>
      </c>
      <c r="U7" s="9">
        <f>'Historical Data'!U29</f>
        <v>0</v>
      </c>
      <c r="V7" s="9">
        <f>'Historical Data'!V29</f>
        <v>0</v>
      </c>
      <c r="W7" s="9">
        <f>'Historical Data'!W29</f>
        <v>0</v>
      </c>
      <c r="X7" s="9">
        <f>'Historical Data'!X29</f>
        <v>0</v>
      </c>
      <c r="Y7" s="9">
        <f>'Historical Data'!Y29</f>
        <v>0</v>
      </c>
      <c r="Z7" s="9">
        <f>'Historical Data'!Z29</f>
        <v>0</v>
      </c>
      <c r="AA7" s="9">
        <f>'Historical Data'!AA29</f>
        <v>0</v>
      </c>
      <c r="AB7" s="9">
        <f>'Historical Data'!AB29</f>
        <v>0</v>
      </c>
      <c r="AC7" s="9">
        <f>'Historical Data'!AC29</f>
        <v>0</v>
      </c>
      <c r="AD7" s="9">
        <f>'Historical Data'!AD29</f>
        <v>0</v>
      </c>
      <c r="AE7" s="9">
        <f>'Historical Data'!AE29</f>
        <v>0</v>
      </c>
      <c r="AF7" s="9">
        <f>'Historical Data'!AF29</f>
        <v>0</v>
      </c>
      <c r="AG7" s="9">
        <f>'Historical Data'!AG29</f>
        <v>0</v>
      </c>
      <c r="AH7" s="9">
        <f>'Historical Data'!AH29</f>
        <v>0</v>
      </c>
      <c r="AI7" s="9">
        <f>'Historical Data'!AI29</f>
        <v>0</v>
      </c>
      <c r="AJ7" s="9">
        <f>'Historical Data'!AJ29</f>
        <v>0</v>
      </c>
      <c r="AK7" s="9">
        <f>'Historical Data'!AK29</f>
        <v>0</v>
      </c>
      <c r="AL7" s="9">
        <f>'Historical Data'!AL29</f>
        <v>0</v>
      </c>
      <c r="AM7" s="9">
        <f>'Revenue Forecast'!AM7*Driver_COGS</f>
        <v>0</v>
      </c>
      <c r="AN7" s="9">
        <f>'Revenue Forecast'!AN7*Driver_COGS</f>
        <v>0</v>
      </c>
      <c r="AO7" s="9">
        <f>'Revenue Forecast'!AO7*Driver_COGS</f>
        <v>0</v>
      </c>
      <c r="AP7" s="9">
        <f>'Revenue Forecast'!AP7*Driver_COGS</f>
        <v>0</v>
      </c>
      <c r="AQ7" s="9">
        <f>'Revenue Forecast'!AQ7*Driver_COGS</f>
        <v>0</v>
      </c>
      <c r="AR7" s="9">
        <f>'Revenue Forecast'!AR7*Driver_COGS</f>
        <v>0</v>
      </c>
      <c r="AS7" s="9">
        <f>'Revenue Forecast'!AS7*Driver_COGS</f>
        <v>0</v>
      </c>
      <c r="AT7" s="9">
        <f>'Revenue Forecast'!AT7*Driver_COGS</f>
        <v>0</v>
      </c>
      <c r="AU7" s="9">
        <f>'Revenue Forecast'!AU7*Driver_COGS</f>
        <v>0</v>
      </c>
      <c r="AV7" s="9">
        <f>'Revenue Forecast'!AV7*Driver_COGS</f>
        <v>0</v>
      </c>
      <c r="AW7" s="9">
        <f>'Revenue Forecast'!AW7*Driver_COGS</f>
        <v>0</v>
      </c>
      <c r="AX7" s="9">
        <f>'Revenue Forecast'!AX7*Driver_COGS</f>
        <v>0</v>
      </c>
      <c r="AY7" s="9">
        <f>'Revenue Forecast'!AY7*Driver_COGS</f>
        <v>0</v>
      </c>
      <c r="AZ7" s="9">
        <f>'Revenue Forecast'!AZ7*Driver_COGS</f>
        <v>0</v>
      </c>
      <c r="BA7" s="9">
        <f>'Revenue Forecast'!BA7*Driver_COGS</f>
        <v>0</v>
      </c>
      <c r="BB7" s="9">
        <f>'Revenue Forecast'!BB7*Driver_COGS</f>
        <v>0</v>
      </c>
      <c r="BC7" s="9">
        <f>'Revenue Forecast'!BC7*Driver_COGS</f>
        <v>0</v>
      </c>
      <c r="BD7" s="9">
        <f>'Revenue Forecast'!BD7*Driver_COGS</f>
        <v>0</v>
      </c>
      <c r="BE7" s="9">
        <f>'Revenue Forecast'!BE7*Driver_COGS</f>
        <v>0</v>
      </c>
      <c r="BF7" s="9">
        <f>'Revenue Forecast'!BF7*Driver_COGS</f>
        <v>0</v>
      </c>
      <c r="BG7" s="9">
        <f>'Revenue Forecast'!BG7*Driver_COGS</f>
        <v>0</v>
      </c>
      <c r="BH7" s="9">
        <f>'Revenue Forecast'!BH7*Driver_COGS</f>
        <v>0</v>
      </c>
      <c r="BI7" s="9">
        <f>'Revenue Forecast'!BI7*Driver_COGS</f>
        <v>0</v>
      </c>
      <c r="BJ7" s="9">
        <f>'Revenue Forecast'!BJ7*Driver_COGS</f>
        <v>0</v>
      </c>
    </row>
    <row r="8" spans="1:62">
      <c r="A8" t="s">
        <v>39</v>
      </c>
      <c r="B8" t="s">
        <v>12</v>
      </c>
      <c r="C8" s="9">
        <f>'Historical Data'!C37</f>
        <v>0</v>
      </c>
      <c r="D8" s="9">
        <f>'Historical Data'!D37</f>
        <v>0</v>
      </c>
      <c r="E8" s="9">
        <f>'Historical Data'!E37</f>
        <v>0</v>
      </c>
      <c r="F8" s="9">
        <f>'Historical Data'!F37</f>
        <v>0</v>
      </c>
      <c r="G8" s="9">
        <f>'Historical Data'!G37</f>
        <v>0</v>
      </c>
      <c r="H8" s="9">
        <f>'Historical Data'!H37</f>
        <v>0</v>
      </c>
      <c r="I8" s="9">
        <f>'Historical Data'!I37</f>
        <v>0</v>
      </c>
      <c r="J8" s="9">
        <f>'Historical Data'!J37</f>
        <v>0</v>
      </c>
      <c r="K8" s="9">
        <f>'Historical Data'!K37</f>
        <v>0</v>
      </c>
      <c r="L8" s="9">
        <f>'Historical Data'!L37</f>
        <v>0</v>
      </c>
      <c r="M8" s="9">
        <f>'Historical Data'!M37</f>
        <v>0</v>
      </c>
      <c r="N8" s="9">
        <f>'Historical Data'!N37</f>
        <v>0</v>
      </c>
      <c r="O8" s="9">
        <f>'Historical Data'!O37</f>
        <v>0</v>
      </c>
      <c r="P8" s="9">
        <f>'Historical Data'!P37</f>
        <v>0</v>
      </c>
      <c r="Q8" s="9">
        <f>'Historical Data'!Q37</f>
        <v>0</v>
      </c>
      <c r="R8" s="9">
        <f>'Historical Data'!R37</f>
        <v>0</v>
      </c>
      <c r="S8" s="9">
        <f>'Historical Data'!S37</f>
        <v>0</v>
      </c>
      <c r="T8" s="9">
        <f>'Historical Data'!T37</f>
        <v>0</v>
      </c>
      <c r="U8" s="9">
        <f>'Historical Data'!U37</f>
        <v>0</v>
      </c>
      <c r="V8" s="9">
        <f>'Historical Data'!V37</f>
        <v>0</v>
      </c>
      <c r="W8" s="9">
        <f>'Historical Data'!W37</f>
        <v>0</v>
      </c>
      <c r="X8" s="9">
        <f>'Historical Data'!X37</f>
        <v>0</v>
      </c>
      <c r="Y8" s="9">
        <f>'Historical Data'!Y37</f>
        <v>0</v>
      </c>
      <c r="Z8" s="9">
        <f>'Historical Data'!Z37</f>
        <v>0</v>
      </c>
      <c r="AA8" s="9">
        <f>'Historical Data'!AA37</f>
        <v>0</v>
      </c>
      <c r="AB8" s="9">
        <f>'Historical Data'!AB37</f>
        <v>0</v>
      </c>
      <c r="AC8" s="9">
        <f>'Historical Data'!AC37</f>
        <v>0</v>
      </c>
      <c r="AD8" s="9">
        <f>'Historical Data'!AD37</f>
        <v>0</v>
      </c>
      <c r="AE8" s="9">
        <f>'Historical Data'!AE37</f>
        <v>0</v>
      </c>
      <c r="AF8" s="9">
        <f>'Historical Data'!AF37</f>
        <v>0</v>
      </c>
      <c r="AG8" s="9">
        <f>'Historical Data'!AG37</f>
        <v>0</v>
      </c>
      <c r="AH8" s="9">
        <f>'Historical Data'!AH37</f>
        <v>0</v>
      </c>
      <c r="AI8" s="9">
        <f>'Historical Data'!AI37</f>
        <v>0</v>
      </c>
      <c r="AJ8" s="9">
        <f>'Historical Data'!AJ37</f>
        <v>0</v>
      </c>
      <c r="AK8" s="9">
        <f>'Historical Data'!AK37</f>
        <v>0</v>
      </c>
      <c r="AL8" s="9">
        <f>'Historical Data'!AL37</f>
        <v>0</v>
      </c>
      <c r="AM8" s="9">
        <f>'Revenue Forecast'!AM8*Driver_COGS</f>
        <v>0</v>
      </c>
      <c r="AN8" s="9">
        <f>'Revenue Forecast'!AN8*Driver_COGS</f>
        <v>0</v>
      </c>
      <c r="AO8" s="9">
        <f>'Revenue Forecast'!AO8*Driver_COGS</f>
        <v>0</v>
      </c>
      <c r="AP8" s="9">
        <f>'Revenue Forecast'!AP8*Driver_COGS</f>
        <v>0</v>
      </c>
      <c r="AQ8" s="9">
        <f>'Revenue Forecast'!AQ8*Driver_COGS</f>
        <v>0</v>
      </c>
      <c r="AR8" s="9">
        <f>'Revenue Forecast'!AR8*Driver_COGS</f>
        <v>0</v>
      </c>
      <c r="AS8" s="9">
        <f>'Revenue Forecast'!AS8*Driver_COGS</f>
        <v>0</v>
      </c>
      <c r="AT8" s="9">
        <f>'Revenue Forecast'!AT8*Driver_COGS</f>
        <v>0</v>
      </c>
      <c r="AU8" s="9">
        <f>'Revenue Forecast'!AU8*Driver_COGS</f>
        <v>0</v>
      </c>
      <c r="AV8" s="9">
        <f>'Revenue Forecast'!AV8*Driver_COGS</f>
        <v>0</v>
      </c>
      <c r="AW8" s="9">
        <f>'Revenue Forecast'!AW8*Driver_COGS</f>
        <v>0</v>
      </c>
      <c r="AX8" s="9">
        <f>'Revenue Forecast'!AX8*Driver_COGS</f>
        <v>0</v>
      </c>
      <c r="AY8" s="9">
        <f>'Revenue Forecast'!AY8*Driver_COGS</f>
        <v>0</v>
      </c>
      <c r="AZ8" s="9">
        <f>'Revenue Forecast'!AZ8*Driver_COGS</f>
        <v>0</v>
      </c>
      <c r="BA8" s="9">
        <f>'Revenue Forecast'!BA8*Driver_COGS</f>
        <v>0</v>
      </c>
      <c r="BB8" s="9">
        <f>'Revenue Forecast'!BB8*Driver_COGS</f>
        <v>0</v>
      </c>
      <c r="BC8" s="9">
        <f>'Revenue Forecast'!BC8*Driver_COGS</f>
        <v>0</v>
      </c>
      <c r="BD8" s="9">
        <f>'Revenue Forecast'!BD8*Driver_COGS</f>
        <v>0</v>
      </c>
      <c r="BE8" s="9">
        <f>'Revenue Forecast'!BE8*Driver_COGS</f>
        <v>0</v>
      </c>
      <c r="BF8" s="9">
        <f>'Revenue Forecast'!BF8*Driver_COGS</f>
        <v>0</v>
      </c>
      <c r="BG8" s="9">
        <f>'Revenue Forecast'!BG8*Driver_COGS</f>
        <v>0</v>
      </c>
      <c r="BH8" s="9">
        <f>'Revenue Forecast'!BH8*Driver_COGS</f>
        <v>0</v>
      </c>
      <c r="BI8" s="9">
        <f>'Revenue Forecast'!BI8*Driver_COGS</f>
        <v>0</v>
      </c>
      <c r="BJ8" s="9">
        <f>'Revenue Forecast'!BJ8*Driver_COGS</f>
        <v>0</v>
      </c>
    </row>
    <row r="9" spans="1:62">
      <c r="A9" s="10" t="s">
        <v>49</v>
      </c>
      <c r="C9" s="10">
        <f>SUM(C4:C8)</f>
        <v>0</v>
      </c>
      <c r="D9" s="10">
        <f>SUM(D4:D8)</f>
        <v>0</v>
      </c>
      <c r="E9" s="10">
        <f>SUM(E4:E8)</f>
        <v>0</v>
      </c>
      <c r="F9" s="10">
        <f>SUM(F4:F8)</f>
        <v>0</v>
      </c>
      <c r="G9" s="10">
        <f>SUM(G4:G8)</f>
        <v>0</v>
      </c>
      <c r="H9" s="10">
        <f>SUM(H4:H8)</f>
        <v>0</v>
      </c>
      <c r="I9" s="10">
        <f>SUM(I4:I8)</f>
        <v>0</v>
      </c>
      <c r="J9" s="10">
        <f>SUM(J4:J8)</f>
        <v>0</v>
      </c>
      <c r="K9" s="10">
        <f>SUM(K4:K8)</f>
        <v>0</v>
      </c>
      <c r="L9" s="10">
        <f>SUM(L4:L8)</f>
        <v>0</v>
      </c>
      <c r="M9" s="10">
        <f>SUM(M4:M8)</f>
        <v>0</v>
      </c>
      <c r="N9" s="10">
        <f>SUM(N4:N8)</f>
        <v>0</v>
      </c>
      <c r="O9" s="10">
        <f>SUM(O4:O8)</f>
        <v>0</v>
      </c>
      <c r="P9" s="10">
        <f>SUM(P4:P8)</f>
        <v>0</v>
      </c>
      <c r="Q9" s="10">
        <f>SUM(Q4:Q8)</f>
        <v>0</v>
      </c>
      <c r="R9" s="10">
        <f>SUM(R4:R8)</f>
        <v>0</v>
      </c>
      <c r="S9" s="10">
        <f>SUM(S4:S8)</f>
        <v>0</v>
      </c>
      <c r="T9" s="10">
        <f>SUM(T4:T8)</f>
        <v>0</v>
      </c>
      <c r="U9" s="10">
        <f>SUM(U4:U8)</f>
        <v>0</v>
      </c>
      <c r="V9" s="10">
        <f>SUM(V4:V8)</f>
        <v>0</v>
      </c>
      <c r="W9" s="10">
        <f>SUM(W4:W8)</f>
        <v>0</v>
      </c>
      <c r="X9" s="10">
        <f>SUM(X4:X8)</f>
        <v>0</v>
      </c>
      <c r="Y9" s="10">
        <f>SUM(Y4:Y8)</f>
        <v>0</v>
      </c>
      <c r="Z9" s="10">
        <f>SUM(Z4:Z8)</f>
        <v>0</v>
      </c>
      <c r="AA9" s="10">
        <f>SUM(AA4:AA8)</f>
        <v>0</v>
      </c>
      <c r="AB9" s="10">
        <f>SUM(AB4:AB8)</f>
        <v>0</v>
      </c>
      <c r="AC9" s="10">
        <f>SUM(AC4:AC8)</f>
        <v>0</v>
      </c>
      <c r="AD9" s="10">
        <f>SUM(AD4:AD8)</f>
        <v>0</v>
      </c>
      <c r="AE9" s="10">
        <f>SUM(AE4:AE8)</f>
        <v>0</v>
      </c>
      <c r="AF9" s="10">
        <f>SUM(AF4:AF8)</f>
        <v>0</v>
      </c>
      <c r="AG9" s="10">
        <f>SUM(AG4:AG8)</f>
        <v>0</v>
      </c>
      <c r="AH9" s="10">
        <f>SUM(AH4:AH8)</f>
        <v>0</v>
      </c>
      <c r="AI9" s="10">
        <f>SUM(AI4:AI8)</f>
        <v>0</v>
      </c>
      <c r="AJ9" s="10">
        <f>SUM(AJ4:AJ8)</f>
        <v>0</v>
      </c>
      <c r="AK9" s="10">
        <f>SUM(AK4:AK8)</f>
        <v>0</v>
      </c>
      <c r="AL9" s="10">
        <f>SUM(AL4:AL8)</f>
        <v>0</v>
      </c>
      <c r="AM9" s="10">
        <f>SUM(AM4:AM8)</f>
        <v>0</v>
      </c>
      <c r="AN9" s="10">
        <f>SUM(AN4:AN8)</f>
        <v>0</v>
      </c>
      <c r="AO9" s="10">
        <f>SUM(AO4:AO8)</f>
        <v>0</v>
      </c>
      <c r="AP9" s="10">
        <f>SUM(AP4:AP8)</f>
        <v>0</v>
      </c>
      <c r="AQ9" s="10">
        <f>SUM(AQ4:AQ8)</f>
        <v>0</v>
      </c>
      <c r="AR9" s="10">
        <f>SUM(AR4:AR8)</f>
        <v>0</v>
      </c>
      <c r="AS9" s="10">
        <f>SUM(AS4:AS8)</f>
        <v>0</v>
      </c>
      <c r="AT9" s="10">
        <f>SUM(AT4:AT8)</f>
        <v>0</v>
      </c>
      <c r="AU9" s="10">
        <f>SUM(AU4:AU8)</f>
        <v>0</v>
      </c>
      <c r="AV9" s="10">
        <f>SUM(AV4:AV8)</f>
        <v>0</v>
      </c>
      <c r="AW9" s="10">
        <f>SUM(AW4:AW8)</f>
        <v>0</v>
      </c>
      <c r="AX9" s="10">
        <f>SUM(AX4:AX8)</f>
        <v>0</v>
      </c>
      <c r="AY9" s="10">
        <f>SUM(AY4:AY8)</f>
        <v>0</v>
      </c>
      <c r="AZ9" s="10">
        <f>SUM(AZ4:AZ8)</f>
        <v>0</v>
      </c>
      <c r="BA9" s="10">
        <f>SUM(BA4:BA8)</f>
        <v>0</v>
      </c>
      <c r="BB9" s="10">
        <f>SUM(BB4:BB8)</f>
        <v>0</v>
      </c>
      <c r="BC9" s="10">
        <f>SUM(BC4:BC8)</f>
        <v>0</v>
      </c>
      <c r="BD9" s="10">
        <f>SUM(BD4:BD8)</f>
        <v>0</v>
      </c>
      <c r="BE9" s="10">
        <f>SUM(BE4:BE8)</f>
        <v>0</v>
      </c>
      <c r="BF9" s="10">
        <f>SUM(BF4:BF8)</f>
        <v>0</v>
      </c>
      <c r="BG9" s="10">
        <f>SUM(BG4:BG8)</f>
        <v>0</v>
      </c>
      <c r="BH9" s="10">
        <f>SUM(BH4:BH8)</f>
        <v>0</v>
      </c>
      <c r="BI9" s="10">
        <f>SUM(BI4:BI8)</f>
        <v>0</v>
      </c>
      <c r="BJ9" s="10">
        <f>SUM(BJ4:BJ8)</f>
        <v>0</v>
      </c>
    </row>
    <row r="11" spans="1:62">
      <c r="A11" s="10" t="s">
        <v>50</v>
      </c>
      <c r="C11" s="10">
        <f>'Revenue Forecast'!C9-C9</f>
        <v>0</v>
      </c>
      <c r="D11" s="10">
        <f>'Revenue Forecast'!D9-D9</f>
        <v>0</v>
      </c>
      <c r="E11" s="10">
        <f>'Revenue Forecast'!E9-E9</f>
        <v>0</v>
      </c>
      <c r="F11" s="10">
        <f>'Revenue Forecast'!F9-F9</f>
        <v>0</v>
      </c>
      <c r="G11" s="10">
        <f>'Revenue Forecast'!G9-G9</f>
        <v>0</v>
      </c>
      <c r="H11" s="10">
        <f>'Revenue Forecast'!H9-H9</f>
        <v>0</v>
      </c>
      <c r="I11" s="10">
        <f>'Revenue Forecast'!I9-I9</f>
        <v>0</v>
      </c>
      <c r="J11" s="10">
        <f>'Revenue Forecast'!J9-J9</f>
        <v>0</v>
      </c>
      <c r="K11" s="10">
        <f>'Revenue Forecast'!K9-K9</f>
        <v>0</v>
      </c>
      <c r="L11" s="10">
        <f>'Revenue Forecast'!L9-L9</f>
        <v>0</v>
      </c>
      <c r="M11" s="10">
        <f>'Revenue Forecast'!M9-M9</f>
        <v>0</v>
      </c>
      <c r="N11" s="10">
        <f>'Revenue Forecast'!N9-N9</f>
        <v>0</v>
      </c>
      <c r="O11" s="10">
        <f>'Revenue Forecast'!O9-O9</f>
        <v>0</v>
      </c>
      <c r="P11" s="10">
        <f>'Revenue Forecast'!P9-P9</f>
        <v>0</v>
      </c>
      <c r="Q11" s="10">
        <f>'Revenue Forecast'!Q9-Q9</f>
        <v>0</v>
      </c>
      <c r="R11" s="10">
        <f>'Revenue Forecast'!R9-R9</f>
        <v>0</v>
      </c>
      <c r="S11" s="10">
        <f>'Revenue Forecast'!S9-S9</f>
        <v>0</v>
      </c>
      <c r="T11" s="10">
        <f>'Revenue Forecast'!T9-T9</f>
        <v>0</v>
      </c>
      <c r="U11" s="10">
        <f>'Revenue Forecast'!U9-U9</f>
        <v>0</v>
      </c>
      <c r="V11" s="10">
        <f>'Revenue Forecast'!V9-V9</f>
        <v>0</v>
      </c>
      <c r="W11" s="10">
        <f>'Revenue Forecast'!W9-W9</f>
        <v>0</v>
      </c>
      <c r="X11" s="10">
        <f>'Revenue Forecast'!X9-X9</f>
        <v>0</v>
      </c>
      <c r="Y11" s="10">
        <f>'Revenue Forecast'!Y9-Y9</f>
        <v>0</v>
      </c>
      <c r="Z11" s="10">
        <f>'Revenue Forecast'!Z9-Z9</f>
        <v>0</v>
      </c>
      <c r="AA11" s="10">
        <f>'Revenue Forecast'!AA9-AA9</f>
        <v>0</v>
      </c>
      <c r="AB11" s="10">
        <f>'Revenue Forecast'!AB9-AB9</f>
        <v>0</v>
      </c>
      <c r="AC11" s="10">
        <f>'Revenue Forecast'!AC9-AC9</f>
        <v>0</v>
      </c>
      <c r="AD11" s="10">
        <f>'Revenue Forecast'!AD9-AD9</f>
        <v>0</v>
      </c>
      <c r="AE11" s="10">
        <f>'Revenue Forecast'!AE9-AE9</f>
        <v>0</v>
      </c>
      <c r="AF11" s="10">
        <f>'Revenue Forecast'!AF9-AF9</f>
        <v>0</v>
      </c>
      <c r="AG11" s="10">
        <f>'Revenue Forecast'!AG9-AG9</f>
        <v>0</v>
      </c>
      <c r="AH11" s="10">
        <f>'Revenue Forecast'!AH9-AH9</f>
        <v>0</v>
      </c>
      <c r="AI11" s="10">
        <f>'Revenue Forecast'!AI9-AI9</f>
        <v>0</v>
      </c>
      <c r="AJ11" s="10">
        <f>'Revenue Forecast'!AJ9-AJ9</f>
        <v>0</v>
      </c>
      <c r="AK11" s="10">
        <f>'Revenue Forecast'!AK9-AK9</f>
        <v>0</v>
      </c>
      <c r="AL11" s="10">
        <f>'Revenue Forecast'!AL9-AL9</f>
        <v>0</v>
      </c>
      <c r="AM11" s="10">
        <f>'Revenue Forecast'!AM9-AM9</f>
        <v>0</v>
      </c>
      <c r="AN11" s="10">
        <f>'Revenue Forecast'!AN9-AN9</f>
        <v>0</v>
      </c>
      <c r="AO11" s="10">
        <f>'Revenue Forecast'!AO9-AO9</f>
        <v>0</v>
      </c>
      <c r="AP11" s="10">
        <f>'Revenue Forecast'!AP9-AP9</f>
        <v>0</v>
      </c>
      <c r="AQ11" s="10">
        <f>'Revenue Forecast'!AQ9-AQ9</f>
        <v>0</v>
      </c>
      <c r="AR11" s="10">
        <f>'Revenue Forecast'!AR9-AR9</f>
        <v>0</v>
      </c>
      <c r="AS11" s="10">
        <f>'Revenue Forecast'!AS9-AS9</f>
        <v>0</v>
      </c>
      <c r="AT11" s="10">
        <f>'Revenue Forecast'!AT9-AT9</f>
        <v>0</v>
      </c>
      <c r="AU11" s="10">
        <f>'Revenue Forecast'!AU9-AU9</f>
        <v>0</v>
      </c>
      <c r="AV11" s="10">
        <f>'Revenue Forecast'!AV9-AV9</f>
        <v>0</v>
      </c>
      <c r="AW11" s="10">
        <f>'Revenue Forecast'!AW9-AW9</f>
        <v>0</v>
      </c>
      <c r="AX11" s="10">
        <f>'Revenue Forecast'!AX9-AX9</f>
        <v>0</v>
      </c>
      <c r="AY11" s="10">
        <f>'Revenue Forecast'!AY9-AY9</f>
        <v>0</v>
      </c>
      <c r="AZ11" s="10">
        <f>'Revenue Forecast'!AZ9-AZ9</f>
        <v>0</v>
      </c>
      <c r="BA11" s="10">
        <f>'Revenue Forecast'!BA9-BA9</f>
        <v>0</v>
      </c>
      <c r="BB11" s="10">
        <f>'Revenue Forecast'!BB9-BB9</f>
        <v>0</v>
      </c>
      <c r="BC11" s="10">
        <f>'Revenue Forecast'!BC9-BC9</f>
        <v>0</v>
      </c>
      <c r="BD11" s="10">
        <f>'Revenue Forecast'!BD9-BD9</f>
        <v>0</v>
      </c>
      <c r="BE11" s="10">
        <f>'Revenue Forecast'!BE9-BE9</f>
        <v>0</v>
      </c>
      <c r="BF11" s="10">
        <f>'Revenue Forecast'!BF9-BF9</f>
        <v>0</v>
      </c>
      <c r="BG11" s="10">
        <f>'Revenue Forecast'!BG9-BG9</f>
        <v>0</v>
      </c>
      <c r="BH11" s="10">
        <f>'Revenue Forecast'!BH9-BH9</f>
        <v>0</v>
      </c>
      <c r="BI11" s="10">
        <f>'Revenue Forecast'!BI9-BI9</f>
        <v>0</v>
      </c>
      <c r="BJ11" s="10">
        <f>'Revenue Forecast'!BJ9-BJ9</f>
        <v>0</v>
      </c>
    </row>
    <row r="12" spans="1:62">
      <c r="A12" s="11" t="s">
        <v>51</v>
      </c>
      <c r="C12" s="11">
        <f>IFERROR(C11/'Revenue Forecast'!C9, 0)</f>
        <v>0</v>
      </c>
      <c r="D12" s="11">
        <f>IFERROR(D11/'Revenue Forecast'!D9, 0)</f>
        <v>0</v>
      </c>
      <c r="E12" s="11">
        <f>IFERROR(E11/'Revenue Forecast'!E9, 0)</f>
        <v>0</v>
      </c>
      <c r="F12" s="11">
        <f>IFERROR(F11/'Revenue Forecast'!F9, 0)</f>
        <v>0</v>
      </c>
      <c r="G12" s="11">
        <f>IFERROR(G11/'Revenue Forecast'!G9, 0)</f>
        <v>0</v>
      </c>
      <c r="H12" s="11">
        <f>IFERROR(H11/'Revenue Forecast'!H9, 0)</f>
        <v>0</v>
      </c>
      <c r="I12" s="11">
        <f>IFERROR(I11/'Revenue Forecast'!I9, 0)</f>
        <v>0</v>
      </c>
      <c r="J12" s="11">
        <f>IFERROR(J11/'Revenue Forecast'!J9, 0)</f>
        <v>0</v>
      </c>
      <c r="K12" s="11">
        <f>IFERROR(K11/'Revenue Forecast'!K9, 0)</f>
        <v>0</v>
      </c>
      <c r="L12" s="11">
        <f>IFERROR(L11/'Revenue Forecast'!L9, 0)</f>
        <v>0</v>
      </c>
      <c r="M12" s="11">
        <f>IFERROR(M11/'Revenue Forecast'!M9, 0)</f>
        <v>0</v>
      </c>
      <c r="N12" s="11">
        <f>IFERROR(N11/'Revenue Forecast'!N9, 0)</f>
        <v>0</v>
      </c>
      <c r="O12" s="11">
        <f>IFERROR(O11/'Revenue Forecast'!O9, 0)</f>
        <v>0</v>
      </c>
      <c r="P12" s="11">
        <f>IFERROR(P11/'Revenue Forecast'!P9, 0)</f>
        <v>0</v>
      </c>
      <c r="Q12" s="11">
        <f>IFERROR(Q11/'Revenue Forecast'!Q9, 0)</f>
        <v>0</v>
      </c>
      <c r="R12" s="11">
        <f>IFERROR(R11/'Revenue Forecast'!R9, 0)</f>
        <v>0</v>
      </c>
      <c r="S12" s="11">
        <f>IFERROR(S11/'Revenue Forecast'!S9, 0)</f>
        <v>0</v>
      </c>
      <c r="T12" s="11">
        <f>IFERROR(T11/'Revenue Forecast'!T9, 0)</f>
        <v>0</v>
      </c>
      <c r="U12" s="11">
        <f>IFERROR(U11/'Revenue Forecast'!U9, 0)</f>
        <v>0</v>
      </c>
      <c r="V12" s="11">
        <f>IFERROR(V11/'Revenue Forecast'!V9, 0)</f>
        <v>0</v>
      </c>
      <c r="W12" s="11">
        <f>IFERROR(W11/'Revenue Forecast'!W9, 0)</f>
        <v>0</v>
      </c>
      <c r="X12" s="11">
        <f>IFERROR(X11/'Revenue Forecast'!X9, 0)</f>
        <v>0</v>
      </c>
      <c r="Y12" s="11">
        <f>IFERROR(Y11/'Revenue Forecast'!Y9, 0)</f>
        <v>0</v>
      </c>
      <c r="Z12" s="11">
        <f>IFERROR(Z11/'Revenue Forecast'!Z9, 0)</f>
        <v>0</v>
      </c>
      <c r="AA12" s="11">
        <f>IFERROR(AA11/'Revenue Forecast'!AA9, 0)</f>
        <v>0</v>
      </c>
      <c r="AB12" s="11">
        <f>IFERROR(AB11/'Revenue Forecast'!AB9, 0)</f>
        <v>0</v>
      </c>
      <c r="AC12" s="11">
        <f>IFERROR(AC11/'Revenue Forecast'!AC9, 0)</f>
        <v>0</v>
      </c>
      <c r="AD12" s="11">
        <f>IFERROR(AD11/'Revenue Forecast'!AD9, 0)</f>
        <v>0</v>
      </c>
      <c r="AE12" s="11">
        <f>IFERROR(AE11/'Revenue Forecast'!AE9, 0)</f>
        <v>0</v>
      </c>
      <c r="AF12" s="11">
        <f>IFERROR(AF11/'Revenue Forecast'!AF9, 0)</f>
        <v>0</v>
      </c>
      <c r="AG12" s="11">
        <f>IFERROR(AG11/'Revenue Forecast'!AG9, 0)</f>
        <v>0</v>
      </c>
      <c r="AH12" s="11">
        <f>IFERROR(AH11/'Revenue Forecast'!AH9, 0)</f>
        <v>0</v>
      </c>
      <c r="AI12" s="11">
        <f>IFERROR(AI11/'Revenue Forecast'!AI9, 0)</f>
        <v>0</v>
      </c>
      <c r="AJ12" s="11">
        <f>IFERROR(AJ11/'Revenue Forecast'!AJ9, 0)</f>
        <v>0</v>
      </c>
      <c r="AK12" s="11">
        <f>IFERROR(AK11/'Revenue Forecast'!AK9, 0)</f>
        <v>0</v>
      </c>
      <c r="AL12" s="11">
        <f>IFERROR(AL11/'Revenue Forecast'!AL9, 0)</f>
        <v>0</v>
      </c>
      <c r="AM12" s="11">
        <f>IFERROR(AM11/'Revenue Forecast'!AM9, 0)</f>
        <v>0</v>
      </c>
      <c r="AN12" s="11">
        <f>IFERROR(AN11/'Revenue Forecast'!AN9, 0)</f>
        <v>0</v>
      </c>
      <c r="AO12" s="11">
        <f>IFERROR(AO11/'Revenue Forecast'!AO9, 0)</f>
        <v>0</v>
      </c>
      <c r="AP12" s="11">
        <f>IFERROR(AP11/'Revenue Forecast'!AP9, 0)</f>
        <v>0</v>
      </c>
      <c r="AQ12" s="11">
        <f>IFERROR(AQ11/'Revenue Forecast'!AQ9, 0)</f>
        <v>0</v>
      </c>
      <c r="AR12" s="11">
        <f>IFERROR(AR11/'Revenue Forecast'!AR9, 0)</f>
        <v>0</v>
      </c>
      <c r="AS12" s="11">
        <f>IFERROR(AS11/'Revenue Forecast'!AS9, 0)</f>
        <v>0</v>
      </c>
      <c r="AT12" s="11">
        <f>IFERROR(AT11/'Revenue Forecast'!AT9, 0)</f>
        <v>0</v>
      </c>
      <c r="AU12" s="11">
        <f>IFERROR(AU11/'Revenue Forecast'!AU9, 0)</f>
        <v>0</v>
      </c>
      <c r="AV12" s="11">
        <f>IFERROR(AV11/'Revenue Forecast'!AV9, 0)</f>
        <v>0</v>
      </c>
      <c r="AW12" s="11">
        <f>IFERROR(AW11/'Revenue Forecast'!AW9, 0)</f>
        <v>0</v>
      </c>
      <c r="AX12" s="11">
        <f>IFERROR(AX11/'Revenue Forecast'!AX9, 0)</f>
        <v>0</v>
      </c>
      <c r="AY12" s="11">
        <f>IFERROR(AY11/'Revenue Forecast'!AY9, 0)</f>
        <v>0</v>
      </c>
      <c r="AZ12" s="11">
        <f>IFERROR(AZ11/'Revenue Forecast'!AZ9, 0)</f>
        <v>0</v>
      </c>
      <c r="BA12" s="11">
        <f>IFERROR(BA11/'Revenue Forecast'!BA9, 0)</f>
        <v>0</v>
      </c>
      <c r="BB12" s="11">
        <f>IFERROR(BB11/'Revenue Forecast'!BB9, 0)</f>
        <v>0</v>
      </c>
      <c r="BC12" s="11">
        <f>IFERROR(BC11/'Revenue Forecast'!BC9, 0)</f>
        <v>0</v>
      </c>
      <c r="BD12" s="11">
        <f>IFERROR(BD11/'Revenue Forecast'!BD9, 0)</f>
        <v>0</v>
      </c>
      <c r="BE12" s="11">
        <f>IFERROR(BE11/'Revenue Forecast'!BE9, 0)</f>
        <v>0</v>
      </c>
      <c r="BF12" s="11">
        <f>IFERROR(BF11/'Revenue Forecast'!BF9, 0)</f>
        <v>0</v>
      </c>
      <c r="BG12" s="11">
        <f>IFERROR(BG11/'Revenue Forecast'!BG9, 0)</f>
        <v>0</v>
      </c>
      <c r="BH12" s="11">
        <f>IFERROR(BH11/'Revenue Forecast'!BH9, 0)</f>
        <v>0</v>
      </c>
      <c r="BI12" s="11">
        <f>IFERROR(BI11/'Revenue Forecast'!BI9, 0)</f>
        <v>0</v>
      </c>
      <c r="BJ12" s="11">
        <f>IFERROR(BJ11/'Revenue Forecast'!BJ9, 0)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J5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20.7109375" customWidth="1"/>
    <col min="3" max="53" width="12.7109375" customWidth="1"/>
  </cols>
  <sheetData>
    <row r="1" spans="1:62">
      <c r="A1" s="1" t="s">
        <v>52</v>
      </c>
    </row>
    <row r="2" spans="1:62">
      <c r="C2" s="6">
        <v>44197</v>
      </c>
      <c r="D2" s="6">
        <v>44228</v>
      </c>
      <c r="E2" s="6">
        <v>44256</v>
      </c>
      <c r="F2" s="6">
        <v>44287</v>
      </c>
      <c r="G2" s="6">
        <v>44317</v>
      </c>
      <c r="H2" s="6">
        <v>44348</v>
      </c>
      <c r="I2" s="6">
        <v>44378</v>
      </c>
      <c r="J2" s="6">
        <v>44409</v>
      </c>
      <c r="K2" s="6">
        <v>44440</v>
      </c>
      <c r="L2" s="6">
        <v>44470</v>
      </c>
      <c r="M2" s="6">
        <v>44501</v>
      </c>
      <c r="N2" s="6">
        <v>44531</v>
      </c>
      <c r="O2" s="6">
        <v>44562</v>
      </c>
      <c r="P2" s="6">
        <v>44593</v>
      </c>
      <c r="Q2" s="6">
        <v>44621</v>
      </c>
      <c r="R2" s="6">
        <v>44652</v>
      </c>
      <c r="S2" s="6">
        <v>44682</v>
      </c>
      <c r="T2" s="6">
        <v>44713</v>
      </c>
      <c r="U2" s="6">
        <v>44743</v>
      </c>
      <c r="V2" s="6">
        <v>44774</v>
      </c>
      <c r="W2" s="6">
        <v>44805</v>
      </c>
      <c r="X2" s="6">
        <v>44835</v>
      </c>
      <c r="Y2" s="6">
        <v>44866</v>
      </c>
      <c r="Z2" s="6">
        <v>44896</v>
      </c>
      <c r="AA2" s="6">
        <v>44927</v>
      </c>
      <c r="AB2" s="6">
        <v>44958</v>
      </c>
      <c r="AC2" s="6">
        <v>44986</v>
      </c>
      <c r="AD2" s="6">
        <v>45017</v>
      </c>
      <c r="AE2" s="6">
        <v>45047</v>
      </c>
      <c r="AF2" s="6">
        <v>45078</v>
      </c>
      <c r="AG2" s="6">
        <v>45108</v>
      </c>
      <c r="AH2" s="6">
        <v>45139</v>
      </c>
      <c r="AI2" s="6">
        <v>45170</v>
      </c>
      <c r="AJ2" s="6">
        <v>45200</v>
      </c>
      <c r="AK2" s="6">
        <v>45231</v>
      </c>
      <c r="AL2" s="6">
        <v>45261</v>
      </c>
      <c r="AM2" s="6">
        <v>45292</v>
      </c>
      <c r="AN2" s="6">
        <v>45323</v>
      </c>
      <c r="AO2" s="6">
        <v>45352</v>
      </c>
      <c r="AP2" s="6">
        <v>45383</v>
      </c>
      <c r="AQ2" s="6">
        <v>45413</v>
      </c>
      <c r="AR2" s="6">
        <v>45444</v>
      </c>
      <c r="AS2" s="6">
        <v>45474</v>
      </c>
      <c r="AT2" s="6">
        <v>45505</v>
      </c>
      <c r="AU2" s="6">
        <v>45536</v>
      </c>
      <c r="AV2" s="6">
        <v>45566</v>
      </c>
      <c r="AW2" s="6">
        <v>45597</v>
      </c>
      <c r="AX2" s="6">
        <v>45627</v>
      </c>
      <c r="AY2" s="6">
        <v>45658</v>
      </c>
      <c r="AZ2" s="6">
        <v>45689</v>
      </c>
      <c r="BA2" s="6">
        <v>45717</v>
      </c>
      <c r="BB2" s="6">
        <v>45748</v>
      </c>
      <c r="BC2" s="6">
        <v>45778</v>
      </c>
      <c r="BD2" s="6">
        <v>45809</v>
      </c>
      <c r="BE2" s="6">
        <v>45839</v>
      </c>
      <c r="BF2" s="6">
        <v>45870</v>
      </c>
      <c r="BG2" s="6">
        <v>45901</v>
      </c>
      <c r="BH2" s="6">
        <v>45931</v>
      </c>
      <c r="BI2" s="6">
        <v>45962</v>
      </c>
      <c r="BJ2" s="6">
        <v>45992</v>
      </c>
    </row>
    <row r="3" spans="1:62">
      <c r="A3" s="2" t="s">
        <v>34</v>
      </c>
      <c r="B3" s="2" t="s">
        <v>35</v>
      </c>
      <c r="C3" s="7" t="s">
        <v>36</v>
      </c>
      <c r="D3" s="7" t="s">
        <v>36</v>
      </c>
      <c r="E3" s="7" t="s">
        <v>36</v>
      </c>
      <c r="F3" s="7" t="s">
        <v>36</v>
      </c>
      <c r="G3" s="7" t="s">
        <v>36</v>
      </c>
      <c r="H3" s="7" t="s">
        <v>36</v>
      </c>
      <c r="I3" s="7" t="s">
        <v>36</v>
      </c>
      <c r="J3" s="7" t="s">
        <v>36</v>
      </c>
      <c r="K3" s="7" t="s">
        <v>36</v>
      </c>
      <c r="L3" s="7" t="s">
        <v>36</v>
      </c>
      <c r="M3" s="7" t="s">
        <v>36</v>
      </c>
      <c r="N3" s="7" t="s">
        <v>36</v>
      </c>
      <c r="O3" s="7" t="s">
        <v>36</v>
      </c>
      <c r="P3" s="7" t="s">
        <v>36</v>
      </c>
      <c r="Q3" s="7" t="s">
        <v>36</v>
      </c>
      <c r="R3" s="7" t="s">
        <v>36</v>
      </c>
      <c r="S3" s="7" t="s">
        <v>36</v>
      </c>
      <c r="T3" s="7" t="s">
        <v>36</v>
      </c>
      <c r="U3" s="7" t="s">
        <v>36</v>
      </c>
      <c r="V3" s="7" t="s">
        <v>36</v>
      </c>
      <c r="W3" s="7" t="s">
        <v>36</v>
      </c>
      <c r="X3" s="7" t="s">
        <v>36</v>
      </c>
      <c r="Y3" s="7" t="s">
        <v>36</v>
      </c>
      <c r="Z3" s="7" t="s">
        <v>36</v>
      </c>
      <c r="AA3" s="7" t="s">
        <v>36</v>
      </c>
      <c r="AB3" s="7" t="s">
        <v>36</v>
      </c>
      <c r="AC3" s="7" t="s">
        <v>36</v>
      </c>
      <c r="AD3" s="7" t="s">
        <v>36</v>
      </c>
      <c r="AE3" s="7" t="s">
        <v>36</v>
      </c>
      <c r="AF3" s="7" t="s">
        <v>36</v>
      </c>
      <c r="AG3" s="7" t="s">
        <v>36</v>
      </c>
      <c r="AH3" s="7" t="s">
        <v>36</v>
      </c>
      <c r="AI3" s="7" t="s">
        <v>36</v>
      </c>
      <c r="AJ3" s="7" t="s">
        <v>36</v>
      </c>
      <c r="AK3" s="7" t="s">
        <v>36</v>
      </c>
      <c r="AL3" s="7" t="s">
        <v>36</v>
      </c>
      <c r="AM3" s="7" t="s">
        <v>37</v>
      </c>
      <c r="AN3" s="7" t="s">
        <v>37</v>
      </c>
      <c r="AO3" s="7" t="s">
        <v>37</v>
      </c>
      <c r="AP3" s="7" t="s">
        <v>37</v>
      </c>
      <c r="AQ3" s="7" t="s">
        <v>37</v>
      </c>
      <c r="AR3" s="7" t="s">
        <v>37</v>
      </c>
      <c r="AS3" s="7" t="s">
        <v>37</v>
      </c>
      <c r="AT3" s="7" t="s">
        <v>37</v>
      </c>
      <c r="AU3" s="7" t="s">
        <v>37</v>
      </c>
      <c r="AV3" s="7" t="s">
        <v>37</v>
      </c>
      <c r="AW3" s="7" t="s">
        <v>37</v>
      </c>
      <c r="AX3" s="7" t="s">
        <v>37</v>
      </c>
      <c r="AY3" s="7" t="s">
        <v>37</v>
      </c>
      <c r="AZ3" s="7" t="s">
        <v>37</v>
      </c>
      <c r="BA3" s="7" t="s">
        <v>37</v>
      </c>
      <c r="BB3" s="7" t="s">
        <v>37</v>
      </c>
      <c r="BC3" s="7" t="s">
        <v>37</v>
      </c>
      <c r="BD3" s="7" t="s">
        <v>37</v>
      </c>
      <c r="BE3" s="7" t="s">
        <v>37</v>
      </c>
      <c r="BF3" s="7" t="s">
        <v>37</v>
      </c>
      <c r="BG3" s="7" t="s">
        <v>37</v>
      </c>
      <c r="BH3" s="7" t="s">
        <v>37</v>
      </c>
      <c r="BI3" s="7" t="s">
        <v>37</v>
      </c>
      <c r="BJ3" s="7" t="s">
        <v>37</v>
      </c>
    </row>
    <row r="4" spans="1:62">
      <c r="A4" s="2" t="s">
        <v>40</v>
      </c>
    </row>
    <row r="5" spans="1:62">
      <c r="A5" t="s">
        <v>40</v>
      </c>
      <c r="B5" t="s">
        <v>8</v>
      </c>
      <c r="C5" s="9">
        <f>'Historical Data'!C6</f>
        <v>0</v>
      </c>
      <c r="D5" s="9">
        <f>'Historical Data'!D6</f>
        <v>0</v>
      </c>
      <c r="E5" s="9">
        <f>'Historical Data'!E6</f>
        <v>0</v>
      </c>
      <c r="F5" s="9">
        <f>'Historical Data'!F6</f>
        <v>0</v>
      </c>
      <c r="G5" s="9">
        <f>'Historical Data'!G6</f>
        <v>0</v>
      </c>
      <c r="H5" s="9">
        <f>'Historical Data'!H6</f>
        <v>0</v>
      </c>
      <c r="I5" s="9">
        <f>'Historical Data'!I6</f>
        <v>0</v>
      </c>
      <c r="J5" s="9">
        <f>'Historical Data'!J6</f>
        <v>0</v>
      </c>
      <c r="K5" s="9">
        <f>'Historical Data'!K6</f>
        <v>0</v>
      </c>
      <c r="L5" s="9">
        <f>'Historical Data'!L6</f>
        <v>0</v>
      </c>
      <c r="M5" s="9">
        <f>'Historical Data'!M6</f>
        <v>0</v>
      </c>
      <c r="N5" s="9">
        <f>'Historical Data'!N6</f>
        <v>0</v>
      </c>
      <c r="O5" s="9">
        <f>'Historical Data'!O6</f>
        <v>0</v>
      </c>
      <c r="P5" s="9">
        <f>'Historical Data'!P6</f>
        <v>0</v>
      </c>
      <c r="Q5" s="9">
        <f>'Historical Data'!Q6</f>
        <v>0</v>
      </c>
      <c r="R5" s="9">
        <f>'Historical Data'!R6</f>
        <v>0</v>
      </c>
      <c r="S5" s="9">
        <f>'Historical Data'!S6</f>
        <v>0</v>
      </c>
      <c r="T5" s="9">
        <f>'Historical Data'!T6</f>
        <v>0</v>
      </c>
      <c r="U5" s="9">
        <f>'Historical Data'!U6</f>
        <v>0</v>
      </c>
      <c r="V5" s="9">
        <f>'Historical Data'!V6</f>
        <v>0</v>
      </c>
      <c r="W5" s="9">
        <f>'Historical Data'!W6</f>
        <v>0</v>
      </c>
      <c r="X5" s="9">
        <f>'Historical Data'!X6</f>
        <v>0</v>
      </c>
      <c r="Y5" s="9">
        <f>'Historical Data'!Y6</f>
        <v>0</v>
      </c>
      <c r="Z5" s="9">
        <f>'Historical Data'!Z6</f>
        <v>0</v>
      </c>
      <c r="AA5" s="9">
        <f>'Historical Data'!AA6</f>
        <v>0</v>
      </c>
      <c r="AB5" s="9">
        <f>'Historical Data'!AB6</f>
        <v>0</v>
      </c>
      <c r="AC5" s="9">
        <f>'Historical Data'!AC6</f>
        <v>0</v>
      </c>
      <c r="AD5" s="9">
        <f>'Historical Data'!AD6</f>
        <v>0</v>
      </c>
      <c r="AE5" s="9">
        <f>'Historical Data'!AE6</f>
        <v>0</v>
      </c>
      <c r="AF5" s="9">
        <f>'Historical Data'!AF6</f>
        <v>0</v>
      </c>
      <c r="AG5" s="9">
        <f>'Historical Data'!AG6</f>
        <v>0</v>
      </c>
      <c r="AH5" s="9">
        <f>'Historical Data'!AH6</f>
        <v>0</v>
      </c>
      <c r="AI5" s="9">
        <f>'Historical Data'!AI6</f>
        <v>0</v>
      </c>
      <c r="AJ5" s="9">
        <f>'Historical Data'!AJ6</f>
        <v>0</v>
      </c>
      <c r="AK5" s="9">
        <f>'Historical Data'!AK6</f>
        <v>0</v>
      </c>
      <c r="AL5" s="9">
        <f>'Historical Data'!AL6</f>
        <v>0</v>
      </c>
      <c r="AM5" s="9">
        <f>'Revenue Forecast'!AM4*Driver_Payroll</f>
        <v>0</v>
      </c>
      <c r="AN5" s="9">
        <f>'Revenue Forecast'!AN4*Driver_Payroll</f>
        <v>0</v>
      </c>
      <c r="AO5" s="9">
        <f>'Revenue Forecast'!AO4*Driver_Payroll</f>
        <v>0</v>
      </c>
      <c r="AP5" s="9">
        <f>'Revenue Forecast'!AP4*Driver_Payroll</f>
        <v>0</v>
      </c>
      <c r="AQ5" s="9">
        <f>'Revenue Forecast'!AQ4*Driver_Payroll</f>
        <v>0</v>
      </c>
      <c r="AR5" s="9">
        <f>'Revenue Forecast'!AR4*Driver_Payroll</f>
        <v>0</v>
      </c>
      <c r="AS5" s="9">
        <f>'Revenue Forecast'!AS4*Driver_Payroll</f>
        <v>0</v>
      </c>
      <c r="AT5" s="9">
        <f>'Revenue Forecast'!AT4*Driver_Payroll</f>
        <v>0</v>
      </c>
      <c r="AU5" s="9">
        <f>'Revenue Forecast'!AU4*Driver_Payroll</f>
        <v>0</v>
      </c>
      <c r="AV5" s="9">
        <f>'Revenue Forecast'!AV4*Driver_Payroll</f>
        <v>0</v>
      </c>
      <c r="AW5" s="9">
        <f>'Revenue Forecast'!AW4*Driver_Payroll</f>
        <v>0</v>
      </c>
      <c r="AX5" s="9">
        <f>'Revenue Forecast'!AX4*Driver_Payroll</f>
        <v>0</v>
      </c>
      <c r="AY5" s="9">
        <f>'Revenue Forecast'!AY4*Driver_Payroll</f>
        <v>0</v>
      </c>
      <c r="AZ5" s="9">
        <f>'Revenue Forecast'!AZ4*Driver_Payroll</f>
        <v>0</v>
      </c>
      <c r="BA5" s="9">
        <f>'Revenue Forecast'!BA4*Driver_Payroll</f>
        <v>0</v>
      </c>
      <c r="BB5" s="9">
        <f>'Revenue Forecast'!BB4*Driver_Payroll</f>
        <v>0</v>
      </c>
      <c r="BC5" s="9">
        <f>'Revenue Forecast'!BC4*Driver_Payroll</f>
        <v>0</v>
      </c>
      <c r="BD5" s="9">
        <f>'Revenue Forecast'!BD4*Driver_Payroll</f>
        <v>0</v>
      </c>
      <c r="BE5" s="9">
        <f>'Revenue Forecast'!BE4*Driver_Payroll</f>
        <v>0</v>
      </c>
      <c r="BF5" s="9">
        <f>'Revenue Forecast'!BF4*Driver_Payroll</f>
        <v>0</v>
      </c>
      <c r="BG5" s="9">
        <f>'Revenue Forecast'!BG4*Driver_Payroll</f>
        <v>0</v>
      </c>
      <c r="BH5" s="9">
        <f>'Revenue Forecast'!BH4*Driver_Payroll</f>
        <v>0</v>
      </c>
      <c r="BI5" s="9">
        <f>'Revenue Forecast'!BI4*Driver_Payroll</f>
        <v>0</v>
      </c>
      <c r="BJ5" s="9">
        <f>'Revenue Forecast'!BJ4*Driver_Payroll</f>
        <v>0</v>
      </c>
    </row>
    <row r="6" spans="1:62">
      <c r="A6" t="s">
        <v>40</v>
      </c>
      <c r="B6" t="s">
        <v>9</v>
      </c>
      <c r="C6" s="9">
        <f>'Historical Data'!C14</f>
        <v>0</v>
      </c>
      <c r="D6" s="9">
        <f>'Historical Data'!D14</f>
        <v>0</v>
      </c>
      <c r="E6" s="9">
        <f>'Historical Data'!E14</f>
        <v>0</v>
      </c>
      <c r="F6" s="9">
        <f>'Historical Data'!F14</f>
        <v>0</v>
      </c>
      <c r="G6" s="9">
        <f>'Historical Data'!G14</f>
        <v>0</v>
      </c>
      <c r="H6" s="9">
        <f>'Historical Data'!H14</f>
        <v>0</v>
      </c>
      <c r="I6" s="9">
        <f>'Historical Data'!I14</f>
        <v>0</v>
      </c>
      <c r="J6" s="9">
        <f>'Historical Data'!J14</f>
        <v>0</v>
      </c>
      <c r="K6" s="9">
        <f>'Historical Data'!K14</f>
        <v>0</v>
      </c>
      <c r="L6" s="9">
        <f>'Historical Data'!L14</f>
        <v>0</v>
      </c>
      <c r="M6" s="9">
        <f>'Historical Data'!M14</f>
        <v>0</v>
      </c>
      <c r="N6" s="9">
        <f>'Historical Data'!N14</f>
        <v>0</v>
      </c>
      <c r="O6" s="9">
        <f>'Historical Data'!O14</f>
        <v>0</v>
      </c>
      <c r="P6" s="9">
        <f>'Historical Data'!P14</f>
        <v>0</v>
      </c>
      <c r="Q6" s="9">
        <f>'Historical Data'!Q14</f>
        <v>0</v>
      </c>
      <c r="R6" s="9">
        <f>'Historical Data'!R14</f>
        <v>0</v>
      </c>
      <c r="S6" s="9">
        <f>'Historical Data'!S14</f>
        <v>0</v>
      </c>
      <c r="T6" s="9">
        <f>'Historical Data'!T14</f>
        <v>0</v>
      </c>
      <c r="U6" s="9">
        <f>'Historical Data'!U14</f>
        <v>0</v>
      </c>
      <c r="V6" s="9">
        <f>'Historical Data'!V14</f>
        <v>0</v>
      </c>
      <c r="W6" s="9">
        <f>'Historical Data'!W14</f>
        <v>0</v>
      </c>
      <c r="X6" s="9">
        <f>'Historical Data'!X14</f>
        <v>0</v>
      </c>
      <c r="Y6" s="9">
        <f>'Historical Data'!Y14</f>
        <v>0</v>
      </c>
      <c r="Z6" s="9">
        <f>'Historical Data'!Z14</f>
        <v>0</v>
      </c>
      <c r="AA6" s="9">
        <f>'Historical Data'!AA14</f>
        <v>0</v>
      </c>
      <c r="AB6" s="9">
        <f>'Historical Data'!AB14</f>
        <v>0</v>
      </c>
      <c r="AC6" s="9">
        <f>'Historical Data'!AC14</f>
        <v>0</v>
      </c>
      <c r="AD6" s="9">
        <f>'Historical Data'!AD14</f>
        <v>0</v>
      </c>
      <c r="AE6" s="9">
        <f>'Historical Data'!AE14</f>
        <v>0</v>
      </c>
      <c r="AF6" s="9">
        <f>'Historical Data'!AF14</f>
        <v>0</v>
      </c>
      <c r="AG6" s="9">
        <f>'Historical Data'!AG14</f>
        <v>0</v>
      </c>
      <c r="AH6" s="9">
        <f>'Historical Data'!AH14</f>
        <v>0</v>
      </c>
      <c r="AI6" s="9">
        <f>'Historical Data'!AI14</f>
        <v>0</v>
      </c>
      <c r="AJ6" s="9">
        <f>'Historical Data'!AJ14</f>
        <v>0</v>
      </c>
      <c r="AK6" s="9">
        <f>'Historical Data'!AK14</f>
        <v>0</v>
      </c>
      <c r="AL6" s="9">
        <f>'Historical Data'!AL14</f>
        <v>0</v>
      </c>
      <c r="AM6" s="9">
        <f>'Revenue Forecast'!AM5*Driver_Payroll</f>
        <v>0</v>
      </c>
      <c r="AN6" s="9">
        <f>'Revenue Forecast'!AN5*Driver_Payroll</f>
        <v>0</v>
      </c>
      <c r="AO6" s="9">
        <f>'Revenue Forecast'!AO5*Driver_Payroll</f>
        <v>0</v>
      </c>
      <c r="AP6" s="9">
        <f>'Revenue Forecast'!AP5*Driver_Payroll</f>
        <v>0</v>
      </c>
      <c r="AQ6" s="9">
        <f>'Revenue Forecast'!AQ5*Driver_Payroll</f>
        <v>0</v>
      </c>
      <c r="AR6" s="9">
        <f>'Revenue Forecast'!AR5*Driver_Payroll</f>
        <v>0</v>
      </c>
      <c r="AS6" s="9">
        <f>'Revenue Forecast'!AS5*Driver_Payroll</f>
        <v>0</v>
      </c>
      <c r="AT6" s="9">
        <f>'Revenue Forecast'!AT5*Driver_Payroll</f>
        <v>0</v>
      </c>
      <c r="AU6" s="9">
        <f>'Revenue Forecast'!AU5*Driver_Payroll</f>
        <v>0</v>
      </c>
      <c r="AV6" s="9">
        <f>'Revenue Forecast'!AV5*Driver_Payroll</f>
        <v>0</v>
      </c>
      <c r="AW6" s="9">
        <f>'Revenue Forecast'!AW5*Driver_Payroll</f>
        <v>0</v>
      </c>
      <c r="AX6" s="9">
        <f>'Revenue Forecast'!AX5*Driver_Payroll</f>
        <v>0</v>
      </c>
      <c r="AY6" s="9">
        <f>'Revenue Forecast'!AY5*Driver_Payroll</f>
        <v>0</v>
      </c>
      <c r="AZ6" s="9">
        <f>'Revenue Forecast'!AZ5*Driver_Payroll</f>
        <v>0</v>
      </c>
      <c r="BA6" s="9">
        <f>'Revenue Forecast'!BA5*Driver_Payroll</f>
        <v>0</v>
      </c>
      <c r="BB6" s="9">
        <f>'Revenue Forecast'!BB5*Driver_Payroll</f>
        <v>0</v>
      </c>
      <c r="BC6" s="9">
        <f>'Revenue Forecast'!BC5*Driver_Payroll</f>
        <v>0</v>
      </c>
      <c r="BD6" s="9">
        <f>'Revenue Forecast'!BD5*Driver_Payroll</f>
        <v>0</v>
      </c>
      <c r="BE6" s="9">
        <f>'Revenue Forecast'!BE5*Driver_Payroll</f>
        <v>0</v>
      </c>
      <c r="BF6" s="9">
        <f>'Revenue Forecast'!BF5*Driver_Payroll</f>
        <v>0</v>
      </c>
      <c r="BG6" s="9">
        <f>'Revenue Forecast'!BG5*Driver_Payroll</f>
        <v>0</v>
      </c>
      <c r="BH6" s="9">
        <f>'Revenue Forecast'!BH5*Driver_Payroll</f>
        <v>0</v>
      </c>
      <c r="BI6" s="9">
        <f>'Revenue Forecast'!BI5*Driver_Payroll</f>
        <v>0</v>
      </c>
      <c r="BJ6" s="9">
        <f>'Revenue Forecast'!BJ5*Driver_Payroll</f>
        <v>0</v>
      </c>
    </row>
    <row r="7" spans="1:62">
      <c r="A7" t="s">
        <v>40</v>
      </c>
      <c r="B7" t="s">
        <v>10</v>
      </c>
      <c r="C7" s="9">
        <f>'Historical Data'!C22</f>
        <v>0</v>
      </c>
      <c r="D7" s="9">
        <f>'Historical Data'!D22</f>
        <v>0</v>
      </c>
      <c r="E7" s="9">
        <f>'Historical Data'!E22</f>
        <v>0</v>
      </c>
      <c r="F7" s="9">
        <f>'Historical Data'!F22</f>
        <v>0</v>
      </c>
      <c r="G7" s="9">
        <f>'Historical Data'!G22</f>
        <v>0</v>
      </c>
      <c r="H7" s="9">
        <f>'Historical Data'!H22</f>
        <v>0</v>
      </c>
      <c r="I7" s="9">
        <f>'Historical Data'!I22</f>
        <v>0</v>
      </c>
      <c r="J7" s="9">
        <f>'Historical Data'!J22</f>
        <v>0</v>
      </c>
      <c r="K7" s="9">
        <f>'Historical Data'!K22</f>
        <v>0</v>
      </c>
      <c r="L7" s="9">
        <f>'Historical Data'!L22</f>
        <v>0</v>
      </c>
      <c r="M7" s="9">
        <f>'Historical Data'!M22</f>
        <v>0</v>
      </c>
      <c r="N7" s="9">
        <f>'Historical Data'!N22</f>
        <v>0</v>
      </c>
      <c r="O7" s="9">
        <f>'Historical Data'!O22</f>
        <v>0</v>
      </c>
      <c r="P7" s="9">
        <f>'Historical Data'!P22</f>
        <v>0</v>
      </c>
      <c r="Q7" s="9">
        <f>'Historical Data'!Q22</f>
        <v>0</v>
      </c>
      <c r="R7" s="9">
        <f>'Historical Data'!R22</f>
        <v>0</v>
      </c>
      <c r="S7" s="9">
        <f>'Historical Data'!S22</f>
        <v>0</v>
      </c>
      <c r="T7" s="9">
        <f>'Historical Data'!T22</f>
        <v>0</v>
      </c>
      <c r="U7" s="9">
        <f>'Historical Data'!U22</f>
        <v>0</v>
      </c>
      <c r="V7" s="9">
        <f>'Historical Data'!V22</f>
        <v>0</v>
      </c>
      <c r="W7" s="9">
        <f>'Historical Data'!W22</f>
        <v>0</v>
      </c>
      <c r="X7" s="9">
        <f>'Historical Data'!X22</f>
        <v>0</v>
      </c>
      <c r="Y7" s="9">
        <f>'Historical Data'!Y22</f>
        <v>0</v>
      </c>
      <c r="Z7" s="9">
        <f>'Historical Data'!Z22</f>
        <v>0</v>
      </c>
      <c r="AA7" s="9">
        <f>'Historical Data'!AA22</f>
        <v>0</v>
      </c>
      <c r="AB7" s="9">
        <f>'Historical Data'!AB22</f>
        <v>0</v>
      </c>
      <c r="AC7" s="9">
        <f>'Historical Data'!AC22</f>
        <v>0</v>
      </c>
      <c r="AD7" s="9">
        <f>'Historical Data'!AD22</f>
        <v>0</v>
      </c>
      <c r="AE7" s="9">
        <f>'Historical Data'!AE22</f>
        <v>0</v>
      </c>
      <c r="AF7" s="9">
        <f>'Historical Data'!AF22</f>
        <v>0</v>
      </c>
      <c r="AG7" s="9">
        <f>'Historical Data'!AG22</f>
        <v>0</v>
      </c>
      <c r="AH7" s="9">
        <f>'Historical Data'!AH22</f>
        <v>0</v>
      </c>
      <c r="AI7" s="9">
        <f>'Historical Data'!AI22</f>
        <v>0</v>
      </c>
      <c r="AJ7" s="9">
        <f>'Historical Data'!AJ22</f>
        <v>0</v>
      </c>
      <c r="AK7" s="9">
        <f>'Historical Data'!AK22</f>
        <v>0</v>
      </c>
      <c r="AL7" s="9">
        <f>'Historical Data'!AL22</f>
        <v>0</v>
      </c>
      <c r="AM7" s="9">
        <f>'Revenue Forecast'!AM6*Driver_Payroll</f>
        <v>0</v>
      </c>
      <c r="AN7" s="9">
        <f>'Revenue Forecast'!AN6*Driver_Payroll</f>
        <v>0</v>
      </c>
      <c r="AO7" s="9">
        <f>'Revenue Forecast'!AO6*Driver_Payroll</f>
        <v>0</v>
      </c>
      <c r="AP7" s="9">
        <f>'Revenue Forecast'!AP6*Driver_Payroll</f>
        <v>0</v>
      </c>
      <c r="AQ7" s="9">
        <f>'Revenue Forecast'!AQ6*Driver_Payroll</f>
        <v>0</v>
      </c>
      <c r="AR7" s="9">
        <f>'Revenue Forecast'!AR6*Driver_Payroll</f>
        <v>0</v>
      </c>
      <c r="AS7" s="9">
        <f>'Revenue Forecast'!AS6*Driver_Payroll</f>
        <v>0</v>
      </c>
      <c r="AT7" s="9">
        <f>'Revenue Forecast'!AT6*Driver_Payroll</f>
        <v>0</v>
      </c>
      <c r="AU7" s="9">
        <f>'Revenue Forecast'!AU6*Driver_Payroll</f>
        <v>0</v>
      </c>
      <c r="AV7" s="9">
        <f>'Revenue Forecast'!AV6*Driver_Payroll</f>
        <v>0</v>
      </c>
      <c r="AW7" s="9">
        <f>'Revenue Forecast'!AW6*Driver_Payroll</f>
        <v>0</v>
      </c>
      <c r="AX7" s="9">
        <f>'Revenue Forecast'!AX6*Driver_Payroll</f>
        <v>0</v>
      </c>
      <c r="AY7" s="9">
        <f>'Revenue Forecast'!AY6*Driver_Payroll</f>
        <v>0</v>
      </c>
      <c r="AZ7" s="9">
        <f>'Revenue Forecast'!AZ6*Driver_Payroll</f>
        <v>0</v>
      </c>
      <c r="BA7" s="9">
        <f>'Revenue Forecast'!BA6*Driver_Payroll</f>
        <v>0</v>
      </c>
      <c r="BB7" s="9">
        <f>'Revenue Forecast'!BB6*Driver_Payroll</f>
        <v>0</v>
      </c>
      <c r="BC7" s="9">
        <f>'Revenue Forecast'!BC6*Driver_Payroll</f>
        <v>0</v>
      </c>
      <c r="BD7" s="9">
        <f>'Revenue Forecast'!BD6*Driver_Payroll</f>
        <v>0</v>
      </c>
      <c r="BE7" s="9">
        <f>'Revenue Forecast'!BE6*Driver_Payroll</f>
        <v>0</v>
      </c>
      <c r="BF7" s="9">
        <f>'Revenue Forecast'!BF6*Driver_Payroll</f>
        <v>0</v>
      </c>
      <c r="BG7" s="9">
        <f>'Revenue Forecast'!BG6*Driver_Payroll</f>
        <v>0</v>
      </c>
      <c r="BH7" s="9">
        <f>'Revenue Forecast'!BH6*Driver_Payroll</f>
        <v>0</v>
      </c>
      <c r="BI7" s="9">
        <f>'Revenue Forecast'!BI6*Driver_Payroll</f>
        <v>0</v>
      </c>
      <c r="BJ7" s="9">
        <f>'Revenue Forecast'!BJ6*Driver_Payroll</f>
        <v>0</v>
      </c>
    </row>
    <row r="8" spans="1:62">
      <c r="A8" t="s">
        <v>40</v>
      </c>
      <c r="B8" t="s">
        <v>11</v>
      </c>
      <c r="C8" s="9">
        <f>'Historical Data'!C30</f>
        <v>0</v>
      </c>
      <c r="D8" s="9">
        <f>'Historical Data'!D30</f>
        <v>0</v>
      </c>
      <c r="E8" s="9">
        <f>'Historical Data'!E30</f>
        <v>0</v>
      </c>
      <c r="F8" s="9">
        <f>'Historical Data'!F30</f>
        <v>0</v>
      </c>
      <c r="G8" s="9">
        <f>'Historical Data'!G30</f>
        <v>0</v>
      </c>
      <c r="H8" s="9">
        <f>'Historical Data'!H30</f>
        <v>0</v>
      </c>
      <c r="I8" s="9">
        <f>'Historical Data'!I30</f>
        <v>0</v>
      </c>
      <c r="J8" s="9">
        <f>'Historical Data'!J30</f>
        <v>0</v>
      </c>
      <c r="K8" s="9">
        <f>'Historical Data'!K30</f>
        <v>0</v>
      </c>
      <c r="L8" s="9">
        <f>'Historical Data'!L30</f>
        <v>0</v>
      </c>
      <c r="M8" s="9">
        <f>'Historical Data'!M30</f>
        <v>0</v>
      </c>
      <c r="N8" s="9">
        <f>'Historical Data'!N30</f>
        <v>0</v>
      </c>
      <c r="O8" s="9">
        <f>'Historical Data'!O30</f>
        <v>0</v>
      </c>
      <c r="P8" s="9">
        <f>'Historical Data'!P30</f>
        <v>0</v>
      </c>
      <c r="Q8" s="9">
        <f>'Historical Data'!Q30</f>
        <v>0</v>
      </c>
      <c r="R8" s="9">
        <f>'Historical Data'!R30</f>
        <v>0</v>
      </c>
      <c r="S8" s="9">
        <f>'Historical Data'!S30</f>
        <v>0</v>
      </c>
      <c r="T8" s="9">
        <f>'Historical Data'!T30</f>
        <v>0</v>
      </c>
      <c r="U8" s="9">
        <f>'Historical Data'!U30</f>
        <v>0</v>
      </c>
      <c r="V8" s="9">
        <f>'Historical Data'!V30</f>
        <v>0</v>
      </c>
      <c r="W8" s="9">
        <f>'Historical Data'!W30</f>
        <v>0</v>
      </c>
      <c r="X8" s="9">
        <f>'Historical Data'!X30</f>
        <v>0</v>
      </c>
      <c r="Y8" s="9">
        <f>'Historical Data'!Y30</f>
        <v>0</v>
      </c>
      <c r="Z8" s="9">
        <f>'Historical Data'!Z30</f>
        <v>0</v>
      </c>
      <c r="AA8" s="9">
        <f>'Historical Data'!AA30</f>
        <v>0</v>
      </c>
      <c r="AB8" s="9">
        <f>'Historical Data'!AB30</f>
        <v>0</v>
      </c>
      <c r="AC8" s="9">
        <f>'Historical Data'!AC30</f>
        <v>0</v>
      </c>
      <c r="AD8" s="9">
        <f>'Historical Data'!AD30</f>
        <v>0</v>
      </c>
      <c r="AE8" s="9">
        <f>'Historical Data'!AE30</f>
        <v>0</v>
      </c>
      <c r="AF8" s="9">
        <f>'Historical Data'!AF30</f>
        <v>0</v>
      </c>
      <c r="AG8" s="9">
        <f>'Historical Data'!AG30</f>
        <v>0</v>
      </c>
      <c r="AH8" s="9">
        <f>'Historical Data'!AH30</f>
        <v>0</v>
      </c>
      <c r="AI8" s="9">
        <f>'Historical Data'!AI30</f>
        <v>0</v>
      </c>
      <c r="AJ8" s="9">
        <f>'Historical Data'!AJ30</f>
        <v>0</v>
      </c>
      <c r="AK8" s="9">
        <f>'Historical Data'!AK30</f>
        <v>0</v>
      </c>
      <c r="AL8" s="9">
        <f>'Historical Data'!AL30</f>
        <v>0</v>
      </c>
      <c r="AM8" s="9">
        <f>'Revenue Forecast'!AM7*Driver_Payroll</f>
        <v>0</v>
      </c>
      <c r="AN8" s="9">
        <f>'Revenue Forecast'!AN7*Driver_Payroll</f>
        <v>0</v>
      </c>
      <c r="AO8" s="9">
        <f>'Revenue Forecast'!AO7*Driver_Payroll</f>
        <v>0</v>
      </c>
      <c r="AP8" s="9">
        <f>'Revenue Forecast'!AP7*Driver_Payroll</f>
        <v>0</v>
      </c>
      <c r="AQ8" s="9">
        <f>'Revenue Forecast'!AQ7*Driver_Payroll</f>
        <v>0</v>
      </c>
      <c r="AR8" s="9">
        <f>'Revenue Forecast'!AR7*Driver_Payroll</f>
        <v>0</v>
      </c>
      <c r="AS8" s="9">
        <f>'Revenue Forecast'!AS7*Driver_Payroll</f>
        <v>0</v>
      </c>
      <c r="AT8" s="9">
        <f>'Revenue Forecast'!AT7*Driver_Payroll</f>
        <v>0</v>
      </c>
      <c r="AU8" s="9">
        <f>'Revenue Forecast'!AU7*Driver_Payroll</f>
        <v>0</v>
      </c>
      <c r="AV8" s="9">
        <f>'Revenue Forecast'!AV7*Driver_Payroll</f>
        <v>0</v>
      </c>
      <c r="AW8" s="9">
        <f>'Revenue Forecast'!AW7*Driver_Payroll</f>
        <v>0</v>
      </c>
      <c r="AX8" s="9">
        <f>'Revenue Forecast'!AX7*Driver_Payroll</f>
        <v>0</v>
      </c>
      <c r="AY8" s="9">
        <f>'Revenue Forecast'!AY7*Driver_Payroll</f>
        <v>0</v>
      </c>
      <c r="AZ8" s="9">
        <f>'Revenue Forecast'!AZ7*Driver_Payroll</f>
        <v>0</v>
      </c>
      <c r="BA8" s="9">
        <f>'Revenue Forecast'!BA7*Driver_Payroll</f>
        <v>0</v>
      </c>
      <c r="BB8" s="9">
        <f>'Revenue Forecast'!BB7*Driver_Payroll</f>
        <v>0</v>
      </c>
      <c r="BC8" s="9">
        <f>'Revenue Forecast'!BC7*Driver_Payroll</f>
        <v>0</v>
      </c>
      <c r="BD8" s="9">
        <f>'Revenue Forecast'!BD7*Driver_Payroll</f>
        <v>0</v>
      </c>
      <c r="BE8" s="9">
        <f>'Revenue Forecast'!BE7*Driver_Payroll</f>
        <v>0</v>
      </c>
      <c r="BF8" s="9">
        <f>'Revenue Forecast'!BF7*Driver_Payroll</f>
        <v>0</v>
      </c>
      <c r="BG8" s="9">
        <f>'Revenue Forecast'!BG7*Driver_Payroll</f>
        <v>0</v>
      </c>
      <c r="BH8" s="9">
        <f>'Revenue Forecast'!BH7*Driver_Payroll</f>
        <v>0</v>
      </c>
      <c r="BI8" s="9">
        <f>'Revenue Forecast'!BI7*Driver_Payroll</f>
        <v>0</v>
      </c>
      <c r="BJ8" s="9">
        <f>'Revenue Forecast'!BJ7*Driver_Payroll</f>
        <v>0</v>
      </c>
    </row>
    <row r="9" spans="1:62">
      <c r="A9" t="s">
        <v>40</v>
      </c>
      <c r="B9" t="s">
        <v>12</v>
      </c>
      <c r="C9" s="9">
        <f>'Historical Data'!C38</f>
        <v>0</v>
      </c>
      <c r="D9" s="9">
        <f>'Historical Data'!D38</f>
        <v>0</v>
      </c>
      <c r="E9" s="9">
        <f>'Historical Data'!E38</f>
        <v>0</v>
      </c>
      <c r="F9" s="9">
        <f>'Historical Data'!F38</f>
        <v>0</v>
      </c>
      <c r="G9" s="9">
        <f>'Historical Data'!G38</f>
        <v>0</v>
      </c>
      <c r="H9" s="9">
        <f>'Historical Data'!H38</f>
        <v>0</v>
      </c>
      <c r="I9" s="9">
        <f>'Historical Data'!I38</f>
        <v>0</v>
      </c>
      <c r="J9" s="9">
        <f>'Historical Data'!J38</f>
        <v>0</v>
      </c>
      <c r="K9" s="9">
        <f>'Historical Data'!K38</f>
        <v>0</v>
      </c>
      <c r="L9" s="9">
        <f>'Historical Data'!L38</f>
        <v>0</v>
      </c>
      <c r="M9" s="9">
        <f>'Historical Data'!M38</f>
        <v>0</v>
      </c>
      <c r="N9" s="9">
        <f>'Historical Data'!N38</f>
        <v>0</v>
      </c>
      <c r="O9" s="9">
        <f>'Historical Data'!O38</f>
        <v>0</v>
      </c>
      <c r="P9" s="9">
        <f>'Historical Data'!P38</f>
        <v>0</v>
      </c>
      <c r="Q9" s="9">
        <f>'Historical Data'!Q38</f>
        <v>0</v>
      </c>
      <c r="R9" s="9">
        <f>'Historical Data'!R38</f>
        <v>0</v>
      </c>
      <c r="S9" s="9">
        <f>'Historical Data'!S38</f>
        <v>0</v>
      </c>
      <c r="T9" s="9">
        <f>'Historical Data'!T38</f>
        <v>0</v>
      </c>
      <c r="U9" s="9">
        <f>'Historical Data'!U38</f>
        <v>0</v>
      </c>
      <c r="V9" s="9">
        <f>'Historical Data'!V38</f>
        <v>0</v>
      </c>
      <c r="W9" s="9">
        <f>'Historical Data'!W38</f>
        <v>0</v>
      </c>
      <c r="X9" s="9">
        <f>'Historical Data'!X38</f>
        <v>0</v>
      </c>
      <c r="Y9" s="9">
        <f>'Historical Data'!Y38</f>
        <v>0</v>
      </c>
      <c r="Z9" s="9">
        <f>'Historical Data'!Z38</f>
        <v>0</v>
      </c>
      <c r="AA9" s="9">
        <f>'Historical Data'!AA38</f>
        <v>0</v>
      </c>
      <c r="AB9" s="9">
        <f>'Historical Data'!AB38</f>
        <v>0</v>
      </c>
      <c r="AC9" s="9">
        <f>'Historical Data'!AC38</f>
        <v>0</v>
      </c>
      <c r="AD9" s="9">
        <f>'Historical Data'!AD38</f>
        <v>0</v>
      </c>
      <c r="AE9" s="9">
        <f>'Historical Data'!AE38</f>
        <v>0</v>
      </c>
      <c r="AF9" s="9">
        <f>'Historical Data'!AF38</f>
        <v>0</v>
      </c>
      <c r="AG9" s="9">
        <f>'Historical Data'!AG38</f>
        <v>0</v>
      </c>
      <c r="AH9" s="9">
        <f>'Historical Data'!AH38</f>
        <v>0</v>
      </c>
      <c r="AI9" s="9">
        <f>'Historical Data'!AI38</f>
        <v>0</v>
      </c>
      <c r="AJ9" s="9">
        <f>'Historical Data'!AJ38</f>
        <v>0</v>
      </c>
      <c r="AK9" s="9">
        <f>'Historical Data'!AK38</f>
        <v>0</v>
      </c>
      <c r="AL9" s="9">
        <f>'Historical Data'!AL38</f>
        <v>0</v>
      </c>
      <c r="AM9" s="9">
        <f>'Revenue Forecast'!AM8*Driver_Payroll</f>
        <v>0</v>
      </c>
      <c r="AN9" s="9">
        <f>'Revenue Forecast'!AN8*Driver_Payroll</f>
        <v>0</v>
      </c>
      <c r="AO9" s="9">
        <f>'Revenue Forecast'!AO8*Driver_Payroll</f>
        <v>0</v>
      </c>
      <c r="AP9" s="9">
        <f>'Revenue Forecast'!AP8*Driver_Payroll</f>
        <v>0</v>
      </c>
      <c r="AQ9" s="9">
        <f>'Revenue Forecast'!AQ8*Driver_Payroll</f>
        <v>0</v>
      </c>
      <c r="AR9" s="9">
        <f>'Revenue Forecast'!AR8*Driver_Payroll</f>
        <v>0</v>
      </c>
      <c r="AS9" s="9">
        <f>'Revenue Forecast'!AS8*Driver_Payroll</f>
        <v>0</v>
      </c>
      <c r="AT9" s="9">
        <f>'Revenue Forecast'!AT8*Driver_Payroll</f>
        <v>0</v>
      </c>
      <c r="AU9" s="9">
        <f>'Revenue Forecast'!AU8*Driver_Payroll</f>
        <v>0</v>
      </c>
      <c r="AV9" s="9">
        <f>'Revenue Forecast'!AV8*Driver_Payroll</f>
        <v>0</v>
      </c>
      <c r="AW9" s="9">
        <f>'Revenue Forecast'!AW8*Driver_Payroll</f>
        <v>0</v>
      </c>
      <c r="AX9" s="9">
        <f>'Revenue Forecast'!AX8*Driver_Payroll</f>
        <v>0</v>
      </c>
      <c r="AY9" s="9">
        <f>'Revenue Forecast'!AY8*Driver_Payroll</f>
        <v>0</v>
      </c>
      <c r="AZ9" s="9">
        <f>'Revenue Forecast'!AZ8*Driver_Payroll</f>
        <v>0</v>
      </c>
      <c r="BA9" s="9">
        <f>'Revenue Forecast'!BA8*Driver_Payroll</f>
        <v>0</v>
      </c>
      <c r="BB9" s="9">
        <f>'Revenue Forecast'!BB8*Driver_Payroll</f>
        <v>0</v>
      </c>
      <c r="BC9" s="9">
        <f>'Revenue Forecast'!BC8*Driver_Payroll</f>
        <v>0</v>
      </c>
      <c r="BD9" s="9">
        <f>'Revenue Forecast'!BD8*Driver_Payroll</f>
        <v>0</v>
      </c>
      <c r="BE9" s="9">
        <f>'Revenue Forecast'!BE8*Driver_Payroll</f>
        <v>0</v>
      </c>
      <c r="BF9" s="9">
        <f>'Revenue Forecast'!BF8*Driver_Payroll</f>
        <v>0</v>
      </c>
      <c r="BG9" s="9">
        <f>'Revenue Forecast'!BG8*Driver_Payroll</f>
        <v>0</v>
      </c>
      <c r="BH9" s="9">
        <f>'Revenue Forecast'!BH8*Driver_Payroll</f>
        <v>0</v>
      </c>
      <c r="BI9" s="9">
        <f>'Revenue Forecast'!BI8*Driver_Payroll</f>
        <v>0</v>
      </c>
      <c r="BJ9" s="9">
        <f>'Revenue Forecast'!BJ8*Driver_Payroll</f>
        <v>0</v>
      </c>
    </row>
    <row r="10" spans="1:62">
      <c r="A10" s="10" t="s">
        <v>53</v>
      </c>
      <c r="C10" s="10">
        <f>SUM(C5:C9)</f>
        <v>0</v>
      </c>
      <c r="D10" s="10">
        <f>SUM(D5:D9)</f>
        <v>0</v>
      </c>
      <c r="E10" s="10">
        <f>SUM(E5:E9)</f>
        <v>0</v>
      </c>
      <c r="F10" s="10">
        <f>SUM(F5:F9)</f>
        <v>0</v>
      </c>
      <c r="G10" s="10">
        <f>SUM(G5:G9)</f>
        <v>0</v>
      </c>
      <c r="H10" s="10">
        <f>SUM(H5:H9)</f>
        <v>0</v>
      </c>
      <c r="I10" s="10">
        <f>SUM(I5:I9)</f>
        <v>0</v>
      </c>
      <c r="J10" s="10">
        <f>SUM(J5:J9)</f>
        <v>0</v>
      </c>
      <c r="K10" s="10">
        <f>SUM(K5:K9)</f>
        <v>0</v>
      </c>
      <c r="L10" s="10">
        <f>SUM(L5:L9)</f>
        <v>0</v>
      </c>
      <c r="M10" s="10">
        <f>SUM(M5:M9)</f>
        <v>0</v>
      </c>
      <c r="N10" s="10">
        <f>SUM(N5:N9)</f>
        <v>0</v>
      </c>
      <c r="O10" s="10">
        <f>SUM(O5:O9)</f>
        <v>0</v>
      </c>
      <c r="P10" s="10">
        <f>SUM(P5:P9)</f>
        <v>0</v>
      </c>
      <c r="Q10" s="10">
        <f>SUM(Q5:Q9)</f>
        <v>0</v>
      </c>
      <c r="R10" s="10">
        <f>SUM(R5:R9)</f>
        <v>0</v>
      </c>
      <c r="S10" s="10">
        <f>SUM(S5:S9)</f>
        <v>0</v>
      </c>
      <c r="T10" s="10">
        <f>SUM(T5:T9)</f>
        <v>0</v>
      </c>
      <c r="U10" s="10">
        <f>SUM(U5:U9)</f>
        <v>0</v>
      </c>
      <c r="V10" s="10">
        <f>SUM(V5:V9)</f>
        <v>0</v>
      </c>
      <c r="W10" s="10">
        <f>SUM(W5:W9)</f>
        <v>0</v>
      </c>
      <c r="X10" s="10">
        <f>SUM(X5:X9)</f>
        <v>0</v>
      </c>
      <c r="Y10" s="10">
        <f>SUM(Y5:Y9)</f>
        <v>0</v>
      </c>
      <c r="Z10" s="10">
        <f>SUM(Z5:Z9)</f>
        <v>0</v>
      </c>
      <c r="AA10" s="10">
        <f>SUM(AA5:AA9)</f>
        <v>0</v>
      </c>
      <c r="AB10" s="10">
        <f>SUM(AB5:AB9)</f>
        <v>0</v>
      </c>
      <c r="AC10" s="10">
        <f>SUM(AC5:AC9)</f>
        <v>0</v>
      </c>
      <c r="AD10" s="10">
        <f>SUM(AD5:AD9)</f>
        <v>0</v>
      </c>
      <c r="AE10" s="10">
        <f>SUM(AE5:AE9)</f>
        <v>0</v>
      </c>
      <c r="AF10" s="10">
        <f>SUM(AF5:AF9)</f>
        <v>0</v>
      </c>
      <c r="AG10" s="10">
        <f>SUM(AG5:AG9)</f>
        <v>0</v>
      </c>
      <c r="AH10" s="10">
        <f>SUM(AH5:AH9)</f>
        <v>0</v>
      </c>
      <c r="AI10" s="10">
        <f>SUM(AI5:AI9)</f>
        <v>0</v>
      </c>
      <c r="AJ10" s="10">
        <f>SUM(AJ5:AJ9)</f>
        <v>0</v>
      </c>
      <c r="AK10" s="10">
        <f>SUM(AK5:AK9)</f>
        <v>0</v>
      </c>
      <c r="AL10" s="10">
        <f>SUM(AL5:AL9)</f>
        <v>0</v>
      </c>
      <c r="AM10" s="10">
        <f>SUM(AM5:AM9)</f>
        <v>0</v>
      </c>
      <c r="AN10" s="10">
        <f>SUM(AN5:AN9)</f>
        <v>0</v>
      </c>
      <c r="AO10" s="10">
        <f>SUM(AO5:AO9)</f>
        <v>0</v>
      </c>
      <c r="AP10" s="10">
        <f>SUM(AP5:AP9)</f>
        <v>0</v>
      </c>
      <c r="AQ10" s="10">
        <f>SUM(AQ5:AQ9)</f>
        <v>0</v>
      </c>
      <c r="AR10" s="10">
        <f>SUM(AR5:AR9)</f>
        <v>0</v>
      </c>
      <c r="AS10" s="10">
        <f>SUM(AS5:AS9)</f>
        <v>0</v>
      </c>
      <c r="AT10" s="10">
        <f>SUM(AT5:AT9)</f>
        <v>0</v>
      </c>
      <c r="AU10" s="10">
        <f>SUM(AU5:AU9)</f>
        <v>0</v>
      </c>
      <c r="AV10" s="10">
        <f>SUM(AV5:AV9)</f>
        <v>0</v>
      </c>
      <c r="AW10" s="10">
        <f>SUM(AW5:AW9)</f>
        <v>0</v>
      </c>
      <c r="AX10" s="10">
        <f>SUM(AX5:AX9)</f>
        <v>0</v>
      </c>
      <c r="AY10" s="10">
        <f>SUM(AY5:AY9)</f>
        <v>0</v>
      </c>
      <c r="AZ10" s="10">
        <f>SUM(AZ5:AZ9)</f>
        <v>0</v>
      </c>
      <c r="BA10" s="10">
        <f>SUM(BA5:BA9)</f>
        <v>0</v>
      </c>
      <c r="BB10" s="10">
        <f>SUM(BB5:BB9)</f>
        <v>0</v>
      </c>
      <c r="BC10" s="10">
        <f>SUM(BC5:BC9)</f>
        <v>0</v>
      </c>
      <c r="BD10" s="10">
        <f>SUM(BD5:BD9)</f>
        <v>0</v>
      </c>
      <c r="BE10" s="10">
        <f>SUM(BE5:BE9)</f>
        <v>0</v>
      </c>
      <c r="BF10" s="10">
        <f>SUM(BF5:BF9)</f>
        <v>0</v>
      </c>
      <c r="BG10" s="10">
        <f>SUM(BG5:BG9)</f>
        <v>0</v>
      </c>
      <c r="BH10" s="10">
        <f>SUM(BH5:BH9)</f>
        <v>0</v>
      </c>
      <c r="BI10" s="10">
        <f>SUM(BI5:BI9)</f>
        <v>0</v>
      </c>
      <c r="BJ10" s="10">
        <f>SUM(BJ5:BJ9)</f>
        <v>0</v>
      </c>
    </row>
    <row r="12" spans="1:62">
      <c r="A12" s="2" t="s">
        <v>41</v>
      </c>
    </row>
    <row r="13" spans="1:62">
      <c r="A13" t="s">
        <v>41</v>
      </c>
      <c r="B13" t="s">
        <v>8</v>
      </c>
      <c r="C13" s="9">
        <f>'Historical Data'!C7</f>
        <v>0</v>
      </c>
      <c r="D13" s="9">
        <f>'Historical Data'!D7</f>
        <v>0</v>
      </c>
      <c r="E13" s="9">
        <f>'Historical Data'!E7</f>
        <v>0</v>
      </c>
      <c r="F13" s="9">
        <f>'Historical Data'!F7</f>
        <v>0</v>
      </c>
      <c r="G13" s="9">
        <f>'Historical Data'!G7</f>
        <v>0</v>
      </c>
      <c r="H13" s="9">
        <f>'Historical Data'!H7</f>
        <v>0</v>
      </c>
      <c r="I13" s="9">
        <f>'Historical Data'!I7</f>
        <v>0</v>
      </c>
      <c r="J13" s="9">
        <f>'Historical Data'!J7</f>
        <v>0</v>
      </c>
      <c r="K13" s="9">
        <f>'Historical Data'!K7</f>
        <v>0</v>
      </c>
      <c r="L13" s="9">
        <f>'Historical Data'!L7</f>
        <v>0</v>
      </c>
      <c r="M13" s="9">
        <f>'Historical Data'!M7</f>
        <v>0</v>
      </c>
      <c r="N13" s="9">
        <f>'Historical Data'!N7</f>
        <v>0</v>
      </c>
      <c r="O13" s="9">
        <f>'Historical Data'!O7</f>
        <v>0</v>
      </c>
      <c r="P13" s="9">
        <f>'Historical Data'!P7</f>
        <v>0</v>
      </c>
      <c r="Q13" s="9">
        <f>'Historical Data'!Q7</f>
        <v>0</v>
      </c>
      <c r="R13" s="9">
        <f>'Historical Data'!R7</f>
        <v>0</v>
      </c>
      <c r="S13" s="9">
        <f>'Historical Data'!S7</f>
        <v>0</v>
      </c>
      <c r="T13" s="9">
        <f>'Historical Data'!T7</f>
        <v>0</v>
      </c>
      <c r="U13" s="9">
        <f>'Historical Data'!U7</f>
        <v>0</v>
      </c>
      <c r="V13" s="9">
        <f>'Historical Data'!V7</f>
        <v>0</v>
      </c>
      <c r="W13" s="9">
        <f>'Historical Data'!W7</f>
        <v>0</v>
      </c>
      <c r="X13" s="9">
        <f>'Historical Data'!X7</f>
        <v>0</v>
      </c>
      <c r="Y13" s="9">
        <f>'Historical Data'!Y7</f>
        <v>0</v>
      </c>
      <c r="Z13" s="9">
        <f>'Historical Data'!Z7</f>
        <v>0</v>
      </c>
      <c r="AA13" s="9">
        <f>'Historical Data'!AA7</f>
        <v>0</v>
      </c>
      <c r="AB13" s="9">
        <f>'Historical Data'!AB7</f>
        <v>0</v>
      </c>
      <c r="AC13" s="9">
        <f>'Historical Data'!AC7</f>
        <v>0</v>
      </c>
      <c r="AD13" s="9">
        <f>'Historical Data'!AD7</f>
        <v>0</v>
      </c>
      <c r="AE13" s="9">
        <f>'Historical Data'!AE7</f>
        <v>0</v>
      </c>
      <c r="AF13" s="9">
        <f>'Historical Data'!AF7</f>
        <v>0</v>
      </c>
      <c r="AG13" s="9">
        <f>'Historical Data'!AG7</f>
        <v>0</v>
      </c>
      <c r="AH13" s="9">
        <f>'Historical Data'!AH7</f>
        <v>0</v>
      </c>
      <c r="AI13" s="9">
        <f>'Historical Data'!AI7</f>
        <v>0</v>
      </c>
      <c r="AJ13" s="9">
        <f>'Historical Data'!AJ7</f>
        <v>0</v>
      </c>
      <c r="AK13" s="9">
        <f>'Historical Data'!AK7</f>
        <v>0</v>
      </c>
      <c r="AL13" s="9">
        <f>'Historical Data'!AL7</f>
        <v>0</v>
      </c>
      <c r="AM13" s="9">
        <f>AA13*(1+Rent_Escalation)</f>
        <v>0</v>
      </c>
      <c r="AN13" s="9">
        <f>AB13*(1+Rent_Escalation)</f>
        <v>0</v>
      </c>
      <c r="AO13" s="9">
        <f>AC13*(1+Rent_Escalation)</f>
        <v>0</v>
      </c>
      <c r="AP13" s="9">
        <f>AD13*(1+Rent_Escalation)</f>
        <v>0</v>
      </c>
      <c r="AQ13" s="9">
        <f>AE13*(1+Rent_Escalation)</f>
        <v>0</v>
      </c>
      <c r="AR13" s="9">
        <f>AF13*(1+Rent_Escalation)</f>
        <v>0</v>
      </c>
      <c r="AS13" s="9">
        <f>AG13*(1+Rent_Escalation)</f>
        <v>0</v>
      </c>
      <c r="AT13" s="9">
        <f>AH13*(1+Rent_Escalation)</f>
        <v>0</v>
      </c>
      <c r="AU13" s="9">
        <f>AI13*(1+Rent_Escalation)</f>
        <v>0</v>
      </c>
      <c r="AV13" s="9">
        <f>AJ13*(1+Rent_Escalation)</f>
        <v>0</v>
      </c>
      <c r="AW13" s="9">
        <f>AK13*(1+Rent_Escalation)</f>
        <v>0</v>
      </c>
      <c r="AX13" s="9">
        <f>AL13*(1+Rent_Escalation)</f>
        <v>0</v>
      </c>
      <c r="AY13" s="9">
        <f>AM13*(1+Rent_Escalation)</f>
        <v>0</v>
      </c>
      <c r="AZ13" s="9">
        <f>AN13*(1+Rent_Escalation)</f>
        <v>0</v>
      </c>
      <c r="BA13" s="9">
        <f>AO13*(1+Rent_Escalation)</f>
        <v>0</v>
      </c>
      <c r="BB13" s="9">
        <f>AP13*(1+Rent_Escalation)</f>
        <v>0</v>
      </c>
      <c r="BC13" s="9">
        <f>AQ13*(1+Rent_Escalation)</f>
        <v>0</v>
      </c>
      <c r="BD13" s="9">
        <f>AR13*(1+Rent_Escalation)</f>
        <v>0</v>
      </c>
      <c r="BE13" s="9">
        <f>AS13*(1+Rent_Escalation)</f>
        <v>0</v>
      </c>
      <c r="BF13" s="9">
        <f>AT13*(1+Rent_Escalation)</f>
        <v>0</v>
      </c>
      <c r="BG13" s="9">
        <f>AU13*(1+Rent_Escalation)</f>
        <v>0</v>
      </c>
      <c r="BH13" s="9">
        <f>AV13*(1+Rent_Escalation)</f>
        <v>0</v>
      </c>
      <c r="BI13" s="9">
        <f>AW13*(1+Rent_Escalation)</f>
        <v>0</v>
      </c>
      <c r="BJ13" s="9">
        <f>AX13*(1+Rent_Escalation)</f>
        <v>0</v>
      </c>
    </row>
    <row r="14" spans="1:62">
      <c r="A14" t="s">
        <v>41</v>
      </c>
      <c r="B14" t="s">
        <v>9</v>
      </c>
      <c r="C14" s="9">
        <f>'Historical Data'!C15</f>
        <v>0</v>
      </c>
      <c r="D14" s="9">
        <f>'Historical Data'!D15</f>
        <v>0</v>
      </c>
      <c r="E14" s="9">
        <f>'Historical Data'!E15</f>
        <v>0</v>
      </c>
      <c r="F14" s="9">
        <f>'Historical Data'!F15</f>
        <v>0</v>
      </c>
      <c r="G14" s="9">
        <f>'Historical Data'!G15</f>
        <v>0</v>
      </c>
      <c r="H14" s="9">
        <f>'Historical Data'!H15</f>
        <v>0</v>
      </c>
      <c r="I14" s="9">
        <f>'Historical Data'!I15</f>
        <v>0</v>
      </c>
      <c r="J14" s="9">
        <f>'Historical Data'!J15</f>
        <v>0</v>
      </c>
      <c r="K14" s="9">
        <f>'Historical Data'!K15</f>
        <v>0</v>
      </c>
      <c r="L14" s="9">
        <f>'Historical Data'!L15</f>
        <v>0</v>
      </c>
      <c r="M14" s="9">
        <f>'Historical Data'!M15</f>
        <v>0</v>
      </c>
      <c r="N14" s="9">
        <f>'Historical Data'!N15</f>
        <v>0</v>
      </c>
      <c r="O14" s="9">
        <f>'Historical Data'!O15</f>
        <v>0</v>
      </c>
      <c r="P14" s="9">
        <f>'Historical Data'!P15</f>
        <v>0</v>
      </c>
      <c r="Q14" s="9">
        <f>'Historical Data'!Q15</f>
        <v>0</v>
      </c>
      <c r="R14" s="9">
        <f>'Historical Data'!R15</f>
        <v>0</v>
      </c>
      <c r="S14" s="9">
        <f>'Historical Data'!S15</f>
        <v>0</v>
      </c>
      <c r="T14" s="9">
        <f>'Historical Data'!T15</f>
        <v>0</v>
      </c>
      <c r="U14" s="9">
        <f>'Historical Data'!U15</f>
        <v>0</v>
      </c>
      <c r="V14" s="9">
        <f>'Historical Data'!V15</f>
        <v>0</v>
      </c>
      <c r="W14" s="9">
        <f>'Historical Data'!W15</f>
        <v>0</v>
      </c>
      <c r="X14" s="9">
        <f>'Historical Data'!X15</f>
        <v>0</v>
      </c>
      <c r="Y14" s="9">
        <f>'Historical Data'!Y15</f>
        <v>0</v>
      </c>
      <c r="Z14" s="9">
        <f>'Historical Data'!Z15</f>
        <v>0</v>
      </c>
      <c r="AA14" s="9">
        <f>'Historical Data'!AA15</f>
        <v>0</v>
      </c>
      <c r="AB14" s="9">
        <f>'Historical Data'!AB15</f>
        <v>0</v>
      </c>
      <c r="AC14" s="9">
        <f>'Historical Data'!AC15</f>
        <v>0</v>
      </c>
      <c r="AD14" s="9">
        <f>'Historical Data'!AD15</f>
        <v>0</v>
      </c>
      <c r="AE14" s="9">
        <f>'Historical Data'!AE15</f>
        <v>0</v>
      </c>
      <c r="AF14" s="9">
        <f>'Historical Data'!AF15</f>
        <v>0</v>
      </c>
      <c r="AG14" s="9">
        <f>'Historical Data'!AG15</f>
        <v>0</v>
      </c>
      <c r="AH14" s="9">
        <f>'Historical Data'!AH15</f>
        <v>0</v>
      </c>
      <c r="AI14" s="9">
        <f>'Historical Data'!AI15</f>
        <v>0</v>
      </c>
      <c r="AJ14" s="9">
        <f>'Historical Data'!AJ15</f>
        <v>0</v>
      </c>
      <c r="AK14" s="9">
        <f>'Historical Data'!AK15</f>
        <v>0</v>
      </c>
      <c r="AL14" s="9">
        <f>'Historical Data'!AL15</f>
        <v>0</v>
      </c>
      <c r="AM14" s="9">
        <f>AA14*(1+Rent_Escalation)</f>
        <v>0</v>
      </c>
      <c r="AN14" s="9">
        <f>AB14*(1+Rent_Escalation)</f>
        <v>0</v>
      </c>
      <c r="AO14" s="9">
        <f>AC14*(1+Rent_Escalation)</f>
        <v>0</v>
      </c>
      <c r="AP14" s="9">
        <f>AD14*(1+Rent_Escalation)</f>
        <v>0</v>
      </c>
      <c r="AQ14" s="9">
        <f>AE14*(1+Rent_Escalation)</f>
        <v>0</v>
      </c>
      <c r="AR14" s="9">
        <f>AF14*(1+Rent_Escalation)</f>
        <v>0</v>
      </c>
      <c r="AS14" s="9">
        <f>AG14*(1+Rent_Escalation)</f>
        <v>0</v>
      </c>
      <c r="AT14" s="9">
        <f>AH14*(1+Rent_Escalation)</f>
        <v>0</v>
      </c>
      <c r="AU14" s="9">
        <f>AI14*(1+Rent_Escalation)</f>
        <v>0</v>
      </c>
      <c r="AV14" s="9">
        <f>AJ14*(1+Rent_Escalation)</f>
        <v>0</v>
      </c>
      <c r="AW14" s="9">
        <f>AK14*(1+Rent_Escalation)</f>
        <v>0</v>
      </c>
      <c r="AX14" s="9">
        <f>AL14*(1+Rent_Escalation)</f>
        <v>0</v>
      </c>
      <c r="AY14" s="9">
        <f>AM14*(1+Rent_Escalation)</f>
        <v>0</v>
      </c>
      <c r="AZ14" s="9">
        <f>AN14*(1+Rent_Escalation)</f>
        <v>0</v>
      </c>
      <c r="BA14" s="9">
        <f>AO14*(1+Rent_Escalation)</f>
        <v>0</v>
      </c>
      <c r="BB14" s="9">
        <f>AP14*(1+Rent_Escalation)</f>
        <v>0</v>
      </c>
      <c r="BC14" s="9">
        <f>AQ14*(1+Rent_Escalation)</f>
        <v>0</v>
      </c>
      <c r="BD14" s="9">
        <f>AR14*(1+Rent_Escalation)</f>
        <v>0</v>
      </c>
      <c r="BE14" s="9">
        <f>AS14*(1+Rent_Escalation)</f>
        <v>0</v>
      </c>
      <c r="BF14" s="9">
        <f>AT14*(1+Rent_Escalation)</f>
        <v>0</v>
      </c>
      <c r="BG14" s="9">
        <f>AU14*(1+Rent_Escalation)</f>
        <v>0</v>
      </c>
      <c r="BH14" s="9">
        <f>AV14*(1+Rent_Escalation)</f>
        <v>0</v>
      </c>
      <c r="BI14" s="9">
        <f>AW14*(1+Rent_Escalation)</f>
        <v>0</v>
      </c>
      <c r="BJ14" s="9">
        <f>AX14*(1+Rent_Escalation)</f>
        <v>0</v>
      </c>
    </row>
    <row r="15" spans="1:62">
      <c r="A15" t="s">
        <v>41</v>
      </c>
      <c r="B15" t="s">
        <v>10</v>
      </c>
      <c r="C15" s="9">
        <f>'Historical Data'!C23</f>
        <v>0</v>
      </c>
      <c r="D15" s="9">
        <f>'Historical Data'!D23</f>
        <v>0</v>
      </c>
      <c r="E15" s="9">
        <f>'Historical Data'!E23</f>
        <v>0</v>
      </c>
      <c r="F15" s="9">
        <f>'Historical Data'!F23</f>
        <v>0</v>
      </c>
      <c r="G15" s="9">
        <f>'Historical Data'!G23</f>
        <v>0</v>
      </c>
      <c r="H15" s="9">
        <f>'Historical Data'!H23</f>
        <v>0</v>
      </c>
      <c r="I15" s="9">
        <f>'Historical Data'!I23</f>
        <v>0</v>
      </c>
      <c r="J15" s="9">
        <f>'Historical Data'!J23</f>
        <v>0</v>
      </c>
      <c r="K15" s="9">
        <f>'Historical Data'!K23</f>
        <v>0</v>
      </c>
      <c r="L15" s="9">
        <f>'Historical Data'!L23</f>
        <v>0</v>
      </c>
      <c r="M15" s="9">
        <f>'Historical Data'!M23</f>
        <v>0</v>
      </c>
      <c r="N15" s="9">
        <f>'Historical Data'!N23</f>
        <v>0</v>
      </c>
      <c r="O15" s="9">
        <f>'Historical Data'!O23</f>
        <v>0</v>
      </c>
      <c r="P15" s="9">
        <f>'Historical Data'!P23</f>
        <v>0</v>
      </c>
      <c r="Q15" s="9">
        <f>'Historical Data'!Q23</f>
        <v>0</v>
      </c>
      <c r="R15" s="9">
        <f>'Historical Data'!R23</f>
        <v>0</v>
      </c>
      <c r="S15" s="9">
        <f>'Historical Data'!S23</f>
        <v>0</v>
      </c>
      <c r="T15" s="9">
        <f>'Historical Data'!T23</f>
        <v>0</v>
      </c>
      <c r="U15" s="9">
        <f>'Historical Data'!U23</f>
        <v>0</v>
      </c>
      <c r="V15" s="9">
        <f>'Historical Data'!V23</f>
        <v>0</v>
      </c>
      <c r="W15" s="9">
        <f>'Historical Data'!W23</f>
        <v>0</v>
      </c>
      <c r="X15" s="9">
        <f>'Historical Data'!X23</f>
        <v>0</v>
      </c>
      <c r="Y15" s="9">
        <f>'Historical Data'!Y23</f>
        <v>0</v>
      </c>
      <c r="Z15" s="9">
        <f>'Historical Data'!Z23</f>
        <v>0</v>
      </c>
      <c r="AA15" s="9">
        <f>'Historical Data'!AA23</f>
        <v>0</v>
      </c>
      <c r="AB15" s="9">
        <f>'Historical Data'!AB23</f>
        <v>0</v>
      </c>
      <c r="AC15" s="9">
        <f>'Historical Data'!AC23</f>
        <v>0</v>
      </c>
      <c r="AD15" s="9">
        <f>'Historical Data'!AD23</f>
        <v>0</v>
      </c>
      <c r="AE15" s="9">
        <f>'Historical Data'!AE23</f>
        <v>0</v>
      </c>
      <c r="AF15" s="9">
        <f>'Historical Data'!AF23</f>
        <v>0</v>
      </c>
      <c r="AG15" s="9">
        <f>'Historical Data'!AG23</f>
        <v>0</v>
      </c>
      <c r="AH15" s="9">
        <f>'Historical Data'!AH23</f>
        <v>0</v>
      </c>
      <c r="AI15" s="9">
        <f>'Historical Data'!AI23</f>
        <v>0</v>
      </c>
      <c r="AJ15" s="9">
        <f>'Historical Data'!AJ23</f>
        <v>0</v>
      </c>
      <c r="AK15" s="9">
        <f>'Historical Data'!AK23</f>
        <v>0</v>
      </c>
      <c r="AL15" s="9">
        <f>'Historical Data'!AL23</f>
        <v>0</v>
      </c>
      <c r="AM15" s="9">
        <f>AA15*(1+Rent_Escalation)</f>
        <v>0</v>
      </c>
      <c r="AN15" s="9">
        <f>AB15*(1+Rent_Escalation)</f>
        <v>0</v>
      </c>
      <c r="AO15" s="9">
        <f>AC15*(1+Rent_Escalation)</f>
        <v>0</v>
      </c>
      <c r="AP15" s="9">
        <f>AD15*(1+Rent_Escalation)</f>
        <v>0</v>
      </c>
      <c r="AQ15" s="9">
        <f>AE15*(1+Rent_Escalation)</f>
        <v>0</v>
      </c>
      <c r="AR15" s="9">
        <f>AF15*(1+Rent_Escalation)</f>
        <v>0</v>
      </c>
      <c r="AS15" s="9">
        <f>AG15*(1+Rent_Escalation)</f>
        <v>0</v>
      </c>
      <c r="AT15" s="9">
        <f>AH15*(1+Rent_Escalation)</f>
        <v>0</v>
      </c>
      <c r="AU15" s="9">
        <f>AI15*(1+Rent_Escalation)</f>
        <v>0</v>
      </c>
      <c r="AV15" s="9">
        <f>AJ15*(1+Rent_Escalation)</f>
        <v>0</v>
      </c>
      <c r="AW15" s="9">
        <f>AK15*(1+Rent_Escalation)</f>
        <v>0</v>
      </c>
      <c r="AX15" s="9">
        <f>AL15*(1+Rent_Escalation)</f>
        <v>0</v>
      </c>
      <c r="AY15" s="9">
        <f>AM15*(1+Rent_Escalation)</f>
        <v>0</v>
      </c>
      <c r="AZ15" s="9">
        <f>AN15*(1+Rent_Escalation)</f>
        <v>0</v>
      </c>
      <c r="BA15" s="9">
        <f>AO15*(1+Rent_Escalation)</f>
        <v>0</v>
      </c>
      <c r="BB15" s="9">
        <f>AP15*(1+Rent_Escalation)</f>
        <v>0</v>
      </c>
      <c r="BC15" s="9">
        <f>AQ15*(1+Rent_Escalation)</f>
        <v>0</v>
      </c>
      <c r="BD15" s="9">
        <f>AR15*(1+Rent_Escalation)</f>
        <v>0</v>
      </c>
      <c r="BE15" s="9">
        <f>AS15*(1+Rent_Escalation)</f>
        <v>0</v>
      </c>
      <c r="BF15" s="9">
        <f>AT15*(1+Rent_Escalation)</f>
        <v>0</v>
      </c>
      <c r="BG15" s="9">
        <f>AU15*(1+Rent_Escalation)</f>
        <v>0</v>
      </c>
      <c r="BH15" s="9">
        <f>AV15*(1+Rent_Escalation)</f>
        <v>0</v>
      </c>
      <c r="BI15" s="9">
        <f>AW15*(1+Rent_Escalation)</f>
        <v>0</v>
      </c>
      <c r="BJ15" s="9">
        <f>AX15*(1+Rent_Escalation)</f>
        <v>0</v>
      </c>
    </row>
    <row r="16" spans="1:62">
      <c r="A16" t="s">
        <v>41</v>
      </c>
      <c r="B16" t="s">
        <v>11</v>
      </c>
      <c r="C16" s="9">
        <f>'Historical Data'!C31</f>
        <v>0</v>
      </c>
      <c r="D16" s="9">
        <f>'Historical Data'!D31</f>
        <v>0</v>
      </c>
      <c r="E16" s="9">
        <f>'Historical Data'!E31</f>
        <v>0</v>
      </c>
      <c r="F16" s="9">
        <f>'Historical Data'!F31</f>
        <v>0</v>
      </c>
      <c r="G16" s="9">
        <f>'Historical Data'!G31</f>
        <v>0</v>
      </c>
      <c r="H16" s="9">
        <f>'Historical Data'!H31</f>
        <v>0</v>
      </c>
      <c r="I16" s="9">
        <f>'Historical Data'!I31</f>
        <v>0</v>
      </c>
      <c r="J16" s="9">
        <f>'Historical Data'!J31</f>
        <v>0</v>
      </c>
      <c r="K16" s="9">
        <f>'Historical Data'!K31</f>
        <v>0</v>
      </c>
      <c r="L16" s="9">
        <f>'Historical Data'!L31</f>
        <v>0</v>
      </c>
      <c r="M16" s="9">
        <f>'Historical Data'!M31</f>
        <v>0</v>
      </c>
      <c r="N16" s="9">
        <f>'Historical Data'!N31</f>
        <v>0</v>
      </c>
      <c r="O16" s="9">
        <f>'Historical Data'!O31</f>
        <v>0</v>
      </c>
      <c r="P16" s="9">
        <f>'Historical Data'!P31</f>
        <v>0</v>
      </c>
      <c r="Q16" s="9">
        <f>'Historical Data'!Q31</f>
        <v>0</v>
      </c>
      <c r="R16" s="9">
        <f>'Historical Data'!R31</f>
        <v>0</v>
      </c>
      <c r="S16" s="9">
        <f>'Historical Data'!S31</f>
        <v>0</v>
      </c>
      <c r="T16" s="9">
        <f>'Historical Data'!T31</f>
        <v>0</v>
      </c>
      <c r="U16" s="9">
        <f>'Historical Data'!U31</f>
        <v>0</v>
      </c>
      <c r="V16" s="9">
        <f>'Historical Data'!V31</f>
        <v>0</v>
      </c>
      <c r="W16" s="9">
        <f>'Historical Data'!W31</f>
        <v>0</v>
      </c>
      <c r="X16" s="9">
        <f>'Historical Data'!X31</f>
        <v>0</v>
      </c>
      <c r="Y16" s="9">
        <f>'Historical Data'!Y31</f>
        <v>0</v>
      </c>
      <c r="Z16" s="9">
        <f>'Historical Data'!Z31</f>
        <v>0</v>
      </c>
      <c r="AA16" s="9">
        <f>'Historical Data'!AA31</f>
        <v>0</v>
      </c>
      <c r="AB16" s="9">
        <f>'Historical Data'!AB31</f>
        <v>0</v>
      </c>
      <c r="AC16" s="9">
        <f>'Historical Data'!AC31</f>
        <v>0</v>
      </c>
      <c r="AD16" s="9">
        <f>'Historical Data'!AD31</f>
        <v>0</v>
      </c>
      <c r="AE16" s="9">
        <f>'Historical Data'!AE31</f>
        <v>0</v>
      </c>
      <c r="AF16" s="9">
        <f>'Historical Data'!AF31</f>
        <v>0</v>
      </c>
      <c r="AG16" s="9">
        <f>'Historical Data'!AG31</f>
        <v>0</v>
      </c>
      <c r="AH16" s="9">
        <f>'Historical Data'!AH31</f>
        <v>0</v>
      </c>
      <c r="AI16" s="9">
        <f>'Historical Data'!AI31</f>
        <v>0</v>
      </c>
      <c r="AJ16" s="9">
        <f>'Historical Data'!AJ31</f>
        <v>0</v>
      </c>
      <c r="AK16" s="9">
        <f>'Historical Data'!AK31</f>
        <v>0</v>
      </c>
      <c r="AL16" s="9">
        <f>'Historical Data'!AL31</f>
        <v>0</v>
      </c>
      <c r="AM16" s="9">
        <f>AA16*(1+Rent_Escalation)</f>
        <v>0</v>
      </c>
      <c r="AN16" s="9">
        <f>AB16*(1+Rent_Escalation)</f>
        <v>0</v>
      </c>
      <c r="AO16" s="9">
        <f>AC16*(1+Rent_Escalation)</f>
        <v>0</v>
      </c>
      <c r="AP16" s="9">
        <f>AD16*(1+Rent_Escalation)</f>
        <v>0</v>
      </c>
      <c r="AQ16" s="9">
        <f>AE16*(1+Rent_Escalation)</f>
        <v>0</v>
      </c>
      <c r="AR16" s="9">
        <f>AF16*(1+Rent_Escalation)</f>
        <v>0</v>
      </c>
      <c r="AS16" s="9">
        <f>AG16*(1+Rent_Escalation)</f>
        <v>0</v>
      </c>
      <c r="AT16" s="9">
        <f>AH16*(1+Rent_Escalation)</f>
        <v>0</v>
      </c>
      <c r="AU16" s="9">
        <f>AI16*(1+Rent_Escalation)</f>
        <v>0</v>
      </c>
      <c r="AV16" s="9">
        <f>AJ16*(1+Rent_Escalation)</f>
        <v>0</v>
      </c>
      <c r="AW16" s="9">
        <f>AK16*(1+Rent_Escalation)</f>
        <v>0</v>
      </c>
      <c r="AX16" s="9">
        <f>AL16*(1+Rent_Escalation)</f>
        <v>0</v>
      </c>
      <c r="AY16" s="9">
        <f>AM16*(1+Rent_Escalation)</f>
        <v>0</v>
      </c>
      <c r="AZ16" s="9">
        <f>AN16*(1+Rent_Escalation)</f>
        <v>0</v>
      </c>
      <c r="BA16" s="9">
        <f>AO16*(1+Rent_Escalation)</f>
        <v>0</v>
      </c>
      <c r="BB16" s="9">
        <f>AP16*(1+Rent_Escalation)</f>
        <v>0</v>
      </c>
      <c r="BC16" s="9">
        <f>AQ16*(1+Rent_Escalation)</f>
        <v>0</v>
      </c>
      <c r="BD16" s="9">
        <f>AR16*(1+Rent_Escalation)</f>
        <v>0</v>
      </c>
      <c r="BE16" s="9">
        <f>AS16*(1+Rent_Escalation)</f>
        <v>0</v>
      </c>
      <c r="BF16" s="9">
        <f>AT16*(1+Rent_Escalation)</f>
        <v>0</v>
      </c>
      <c r="BG16" s="9">
        <f>AU16*(1+Rent_Escalation)</f>
        <v>0</v>
      </c>
      <c r="BH16" s="9">
        <f>AV16*(1+Rent_Escalation)</f>
        <v>0</v>
      </c>
      <c r="BI16" s="9">
        <f>AW16*(1+Rent_Escalation)</f>
        <v>0</v>
      </c>
      <c r="BJ16" s="9">
        <f>AX16*(1+Rent_Escalation)</f>
        <v>0</v>
      </c>
    </row>
    <row r="17" spans="1:62">
      <c r="A17" t="s">
        <v>41</v>
      </c>
      <c r="B17" t="s">
        <v>12</v>
      </c>
      <c r="C17" s="9">
        <f>'Historical Data'!C39</f>
        <v>0</v>
      </c>
      <c r="D17" s="9">
        <f>'Historical Data'!D39</f>
        <v>0</v>
      </c>
      <c r="E17" s="9">
        <f>'Historical Data'!E39</f>
        <v>0</v>
      </c>
      <c r="F17" s="9">
        <f>'Historical Data'!F39</f>
        <v>0</v>
      </c>
      <c r="G17" s="9">
        <f>'Historical Data'!G39</f>
        <v>0</v>
      </c>
      <c r="H17" s="9">
        <f>'Historical Data'!H39</f>
        <v>0</v>
      </c>
      <c r="I17" s="9">
        <f>'Historical Data'!I39</f>
        <v>0</v>
      </c>
      <c r="J17" s="9">
        <f>'Historical Data'!J39</f>
        <v>0</v>
      </c>
      <c r="K17" s="9">
        <f>'Historical Data'!K39</f>
        <v>0</v>
      </c>
      <c r="L17" s="9">
        <f>'Historical Data'!L39</f>
        <v>0</v>
      </c>
      <c r="M17" s="9">
        <f>'Historical Data'!M39</f>
        <v>0</v>
      </c>
      <c r="N17" s="9">
        <f>'Historical Data'!N39</f>
        <v>0</v>
      </c>
      <c r="O17" s="9">
        <f>'Historical Data'!O39</f>
        <v>0</v>
      </c>
      <c r="P17" s="9">
        <f>'Historical Data'!P39</f>
        <v>0</v>
      </c>
      <c r="Q17" s="9">
        <f>'Historical Data'!Q39</f>
        <v>0</v>
      </c>
      <c r="R17" s="9">
        <f>'Historical Data'!R39</f>
        <v>0</v>
      </c>
      <c r="S17" s="9">
        <f>'Historical Data'!S39</f>
        <v>0</v>
      </c>
      <c r="T17" s="9">
        <f>'Historical Data'!T39</f>
        <v>0</v>
      </c>
      <c r="U17" s="9">
        <f>'Historical Data'!U39</f>
        <v>0</v>
      </c>
      <c r="V17" s="9">
        <f>'Historical Data'!V39</f>
        <v>0</v>
      </c>
      <c r="W17" s="9">
        <f>'Historical Data'!W39</f>
        <v>0</v>
      </c>
      <c r="X17" s="9">
        <f>'Historical Data'!X39</f>
        <v>0</v>
      </c>
      <c r="Y17" s="9">
        <f>'Historical Data'!Y39</f>
        <v>0</v>
      </c>
      <c r="Z17" s="9">
        <f>'Historical Data'!Z39</f>
        <v>0</v>
      </c>
      <c r="AA17" s="9">
        <f>'Historical Data'!AA39</f>
        <v>0</v>
      </c>
      <c r="AB17" s="9">
        <f>'Historical Data'!AB39</f>
        <v>0</v>
      </c>
      <c r="AC17" s="9">
        <f>'Historical Data'!AC39</f>
        <v>0</v>
      </c>
      <c r="AD17" s="9">
        <f>'Historical Data'!AD39</f>
        <v>0</v>
      </c>
      <c r="AE17" s="9">
        <f>'Historical Data'!AE39</f>
        <v>0</v>
      </c>
      <c r="AF17" s="9">
        <f>'Historical Data'!AF39</f>
        <v>0</v>
      </c>
      <c r="AG17" s="9">
        <f>'Historical Data'!AG39</f>
        <v>0</v>
      </c>
      <c r="AH17" s="9">
        <f>'Historical Data'!AH39</f>
        <v>0</v>
      </c>
      <c r="AI17" s="9">
        <f>'Historical Data'!AI39</f>
        <v>0</v>
      </c>
      <c r="AJ17" s="9">
        <f>'Historical Data'!AJ39</f>
        <v>0</v>
      </c>
      <c r="AK17" s="9">
        <f>'Historical Data'!AK39</f>
        <v>0</v>
      </c>
      <c r="AL17" s="9">
        <f>'Historical Data'!AL39</f>
        <v>0</v>
      </c>
      <c r="AM17" s="9">
        <f>AA17*(1+Rent_Escalation)</f>
        <v>0</v>
      </c>
      <c r="AN17" s="9">
        <f>AB17*(1+Rent_Escalation)</f>
        <v>0</v>
      </c>
      <c r="AO17" s="9">
        <f>AC17*(1+Rent_Escalation)</f>
        <v>0</v>
      </c>
      <c r="AP17" s="9">
        <f>AD17*(1+Rent_Escalation)</f>
        <v>0</v>
      </c>
      <c r="AQ17" s="9">
        <f>AE17*(1+Rent_Escalation)</f>
        <v>0</v>
      </c>
      <c r="AR17" s="9">
        <f>AF17*(1+Rent_Escalation)</f>
        <v>0</v>
      </c>
      <c r="AS17" s="9">
        <f>AG17*(1+Rent_Escalation)</f>
        <v>0</v>
      </c>
      <c r="AT17" s="9">
        <f>AH17*(1+Rent_Escalation)</f>
        <v>0</v>
      </c>
      <c r="AU17" s="9">
        <f>AI17*(1+Rent_Escalation)</f>
        <v>0</v>
      </c>
      <c r="AV17" s="9">
        <f>AJ17*(1+Rent_Escalation)</f>
        <v>0</v>
      </c>
      <c r="AW17" s="9">
        <f>AK17*(1+Rent_Escalation)</f>
        <v>0</v>
      </c>
      <c r="AX17" s="9">
        <f>AL17*(1+Rent_Escalation)</f>
        <v>0</v>
      </c>
      <c r="AY17" s="9">
        <f>AM17*(1+Rent_Escalation)</f>
        <v>0</v>
      </c>
      <c r="AZ17" s="9">
        <f>AN17*(1+Rent_Escalation)</f>
        <v>0</v>
      </c>
      <c r="BA17" s="9">
        <f>AO17*(1+Rent_Escalation)</f>
        <v>0</v>
      </c>
      <c r="BB17" s="9">
        <f>AP17*(1+Rent_Escalation)</f>
        <v>0</v>
      </c>
      <c r="BC17" s="9">
        <f>AQ17*(1+Rent_Escalation)</f>
        <v>0</v>
      </c>
      <c r="BD17" s="9">
        <f>AR17*(1+Rent_Escalation)</f>
        <v>0</v>
      </c>
      <c r="BE17" s="9">
        <f>AS17*(1+Rent_Escalation)</f>
        <v>0</v>
      </c>
      <c r="BF17" s="9">
        <f>AT17*(1+Rent_Escalation)</f>
        <v>0</v>
      </c>
      <c r="BG17" s="9">
        <f>AU17*(1+Rent_Escalation)</f>
        <v>0</v>
      </c>
      <c r="BH17" s="9">
        <f>AV17*(1+Rent_Escalation)</f>
        <v>0</v>
      </c>
      <c r="BI17" s="9">
        <f>AW17*(1+Rent_Escalation)</f>
        <v>0</v>
      </c>
      <c r="BJ17" s="9">
        <f>AX17*(1+Rent_Escalation)</f>
        <v>0</v>
      </c>
    </row>
    <row r="18" spans="1:62">
      <c r="A18" s="10" t="s">
        <v>54</v>
      </c>
      <c r="C18" s="10">
        <f>SUM(C13:C17)</f>
        <v>0</v>
      </c>
      <c r="D18" s="10">
        <f>SUM(D13:D17)</f>
        <v>0</v>
      </c>
      <c r="E18" s="10">
        <f>SUM(E13:E17)</f>
        <v>0</v>
      </c>
      <c r="F18" s="10">
        <f>SUM(F13:F17)</f>
        <v>0</v>
      </c>
      <c r="G18" s="10">
        <f>SUM(G13:G17)</f>
        <v>0</v>
      </c>
      <c r="H18" s="10">
        <f>SUM(H13:H17)</f>
        <v>0</v>
      </c>
      <c r="I18" s="10">
        <f>SUM(I13:I17)</f>
        <v>0</v>
      </c>
      <c r="J18" s="10">
        <f>SUM(J13:J17)</f>
        <v>0</v>
      </c>
      <c r="K18" s="10">
        <f>SUM(K13:K17)</f>
        <v>0</v>
      </c>
      <c r="L18" s="10">
        <f>SUM(L13:L17)</f>
        <v>0</v>
      </c>
      <c r="M18" s="10">
        <f>SUM(M13:M17)</f>
        <v>0</v>
      </c>
      <c r="N18" s="10">
        <f>SUM(N13:N17)</f>
        <v>0</v>
      </c>
      <c r="O18" s="10">
        <f>SUM(O13:O17)</f>
        <v>0</v>
      </c>
      <c r="P18" s="10">
        <f>SUM(P13:P17)</f>
        <v>0</v>
      </c>
      <c r="Q18" s="10">
        <f>SUM(Q13:Q17)</f>
        <v>0</v>
      </c>
      <c r="R18" s="10">
        <f>SUM(R13:R17)</f>
        <v>0</v>
      </c>
      <c r="S18" s="10">
        <f>SUM(S13:S17)</f>
        <v>0</v>
      </c>
      <c r="T18" s="10">
        <f>SUM(T13:T17)</f>
        <v>0</v>
      </c>
      <c r="U18" s="10">
        <f>SUM(U13:U17)</f>
        <v>0</v>
      </c>
      <c r="V18" s="10">
        <f>SUM(V13:V17)</f>
        <v>0</v>
      </c>
      <c r="W18" s="10">
        <f>SUM(W13:W17)</f>
        <v>0</v>
      </c>
      <c r="X18" s="10">
        <f>SUM(X13:X17)</f>
        <v>0</v>
      </c>
      <c r="Y18" s="10">
        <f>SUM(Y13:Y17)</f>
        <v>0</v>
      </c>
      <c r="Z18" s="10">
        <f>SUM(Z13:Z17)</f>
        <v>0</v>
      </c>
      <c r="AA18" s="10">
        <f>SUM(AA13:AA17)</f>
        <v>0</v>
      </c>
      <c r="AB18" s="10">
        <f>SUM(AB13:AB17)</f>
        <v>0</v>
      </c>
      <c r="AC18" s="10">
        <f>SUM(AC13:AC17)</f>
        <v>0</v>
      </c>
      <c r="AD18" s="10">
        <f>SUM(AD13:AD17)</f>
        <v>0</v>
      </c>
      <c r="AE18" s="10">
        <f>SUM(AE13:AE17)</f>
        <v>0</v>
      </c>
      <c r="AF18" s="10">
        <f>SUM(AF13:AF17)</f>
        <v>0</v>
      </c>
      <c r="AG18" s="10">
        <f>SUM(AG13:AG17)</f>
        <v>0</v>
      </c>
      <c r="AH18" s="10">
        <f>SUM(AH13:AH17)</f>
        <v>0</v>
      </c>
      <c r="AI18" s="10">
        <f>SUM(AI13:AI17)</f>
        <v>0</v>
      </c>
      <c r="AJ18" s="10">
        <f>SUM(AJ13:AJ17)</f>
        <v>0</v>
      </c>
      <c r="AK18" s="10">
        <f>SUM(AK13:AK17)</f>
        <v>0</v>
      </c>
      <c r="AL18" s="10">
        <f>SUM(AL13:AL17)</f>
        <v>0</v>
      </c>
      <c r="AM18" s="10">
        <f>SUM(AM13:AM17)</f>
        <v>0</v>
      </c>
      <c r="AN18" s="10">
        <f>SUM(AN13:AN17)</f>
        <v>0</v>
      </c>
      <c r="AO18" s="10">
        <f>SUM(AO13:AO17)</f>
        <v>0</v>
      </c>
      <c r="AP18" s="10">
        <f>SUM(AP13:AP17)</f>
        <v>0</v>
      </c>
      <c r="AQ18" s="10">
        <f>SUM(AQ13:AQ17)</f>
        <v>0</v>
      </c>
      <c r="AR18" s="10">
        <f>SUM(AR13:AR17)</f>
        <v>0</v>
      </c>
      <c r="AS18" s="10">
        <f>SUM(AS13:AS17)</f>
        <v>0</v>
      </c>
      <c r="AT18" s="10">
        <f>SUM(AT13:AT17)</f>
        <v>0</v>
      </c>
      <c r="AU18" s="10">
        <f>SUM(AU13:AU17)</f>
        <v>0</v>
      </c>
      <c r="AV18" s="10">
        <f>SUM(AV13:AV17)</f>
        <v>0</v>
      </c>
      <c r="AW18" s="10">
        <f>SUM(AW13:AW17)</f>
        <v>0</v>
      </c>
      <c r="AX18" s="10">
        <f>SUM(AX13:AX17)</f>
        <v>0</v>
      </c>
      <c r="AY18" s="10">
        <f>SUM(AY13:AY17)</f>
        <v>0</v>
      </c>
      <c r="AZ18" s="10">
        <f>SUM(AZ13:AZ17)</f>
        <v>0</v>
      </c>
      <c r="BA18" s="10">
        <f>SUM(BA13:BA17)</f>
        <v>0</v>
      </c>
      <c r="BB18" s="10">
        <f>SUM(BB13:BB17)</f>
        <v>0</v>
      </c>
      <c r="BC18" s="10">
        <f>SUM(BC13:BC17)</f>
        <v>0</v>
      </c>
      <c r="BD18" s="10">
        <f>SUM(BD13:BD17)</f>
        <v>0</v>
      </c>
      <c r="BE18" s="10">
        <f>SUM(BE13:BE17)</f>
        <v>0</v>
      </c>
      <c r="BF18" s="10">
        <f>SUM(BF13:BF17)</f>
        <v>0</v>
      </c>
      <c r="BG18" s="10">
        <f>SUM(BG13:BG17)</f>
        <v>0</v>
      </c>
      <c r="BH18" s="10">
        <f>SUM(BH13:BH17)</f>
        <v>0</v>
      </c>
      <c r="BI18" s="10">
        <f>SUM(BI13:BI17)</f>
        <v>0</v>
      </c>
      <c r="BJ18" s="10">
        <f>SUM(BJ13:BJ17)</f>
        <v>0</v>
      </c>
    </row>
    <row r="20" spans="1:62">
      <c r="A20" s="2" t="s">
        <v>42</v>
      </c>
    </row>
    <row r="21" spans="1:62">
      <c r="A21" t="s">
        <v>42</v>
      </c>
      <c r="B21" t="s">
        <v>8</v>
      </c>
      <c r="C21" s="9">
        <f>'Historical Data'!C8</f>
        <v>0</v>
      </c>
      <c r="D21" s="9">
        <f>'Historical Data'!D8</f>
        <v>0</v>
      </c>
      <c r="E21" s="9">
        <f>'Historical Data'!E8</f>
        <v>0</v>
      </c>
      <c r="F21" s="9">
        <f>'Historical Data'!F8</f>
        <v>0</v>
      </c>
      <c r="G21" s="9">
        <f>'Historical Data'!G8</f>
        <v>0</v>
      </c>
      <c r="H21" s="9">
        <f>'Historical Data'!H8</f>
        <v>0</v>
      </c>
      <c r="I21" s="9">
        <f>'Historical Data'!I8</f>
        <v>0</v>
      </c>
      <c r="J21" s="9">
        <f>'Historical Data'!J8</f>
        <v>0</v>
      </c>
      <c r="K21" s="9">
        <f>'Historical Data'!K8</f>
        <v>0</v>
      </c>
      <c r="L21" s="9">
        <f>'Historical Data'!L8</f>
        <v>0</v>
      </c>
      <c r="M21" s="9">
        <f>'Historical Data'!M8</f>
        <v>0</v>
      </c>
      <c r="N21" s="9">
        <f>'Historical Data'!N8</f>
        <v>0</v>
      </c>
      <c r="O21" s="9">
        <f>'Historical Data'!O8</f>
        <v>0</v>
      </c>
      <c r="P21" s="9">
        <f>'Historical Data'!P8</f>
        <v>0</v>
      </c>
      <c r="Q21" s="9">
        <f>'Historical Data'!Q8</f>
        <v>0</v>
      </c>
      <c r="R21" s="9">
        <f>'Historical Data'!R8</f>
        <v>0</v>
      </c>
      <c r="S21" s="9">
        <f>'Historical Data'!S8</f>
        <v>0</v>
      </c>
      <c r="T21" s="9">
        <f>'Historical Data'!T8</f>
        <v>0</v>
      </c>
      <c r="U21" s="9">
        <f>'Historical Data'!U8</f>
        <v>0</v>
      </c>
      <c r="V21" s="9">
        <f>'Historical Data'!V8</f>
        <v>0</v>
      </c>
      <c r="W21" s="9">
        <f>'Historical Data'!W8</f>
        <v>0</v>
      </c>
      <c r="X21" s="9">
        <f>'Historical Data'!X8</f>
        <v>0</v>
      </c>
      <c r="Y21" s="9">
        <f>'Historical Data'!Y8</f>
        <v>0</v>
      </c>
      <c r="Z21" s="9">
        <f>'Historical Data'!Z8</f>
        <v>0</v>
      </c>
      <c r="AA21" s="9">
        <f>'Historical Data'!AA8</f>
        <v>0</v>
      </c>
      <c r="AB21" s="9">
        <f>'Historical Data'!AB8</f>
        <v>0</v>
      </c>
      <c r="AC21" s="9">
        <f>'Historical Data'!AC8</f>
        <v>0</v>
      </c>
      <c r="AD21" s="9">
        <f>'Historical Data'!AD8</f>
        <v>0</v>
      </c>
      <c r="AE21" s="9">
        <f>'Historical Data'!AE8</f>
        <v>0</v>
      </c>
      <c r="AF21" s="9">
        <f>'Historical Data'!AF8</f>
        <v>0</v>
      </c>
      <c r="AG21" s="9">
        <f>'Historical Data'!AG8</f>
        <v>0</v>
      </c>
      <c r="AH21" s="9">
        <f>'Historical Data'!AH8</f>
        <v>0</v>
      </c>
      <c r="AI21" s="9">
        <f>'Historical Data'!AI8</f>
        <v>0</v>
      </c>
      <c r="AJ21" s="9">
        <f>'Historical Data'!AJ8</f>
        <v>0</v>
      </c>
      <c r="AK21" s="9">
        <f>'Historical Data'!AK8</f>
        <v>0</v>
      </c>
      <c r="AL21" s="9">
        <f>'Historical Data'!AL8</f>
        <v>0</v>
      </c>
      <c r="AM21" s="9">
        <f>'Revenue Forecast'!AM4*Driver_Marketing</f>
        <v>0</v>
      </c>
      <c r="AN21" s="9">
        <f>'Revenue Forecast'!AN4*Driver_Marketing</f>
        <v>0</v>
      </c>
      <c r="AO21" s="9">
        <f>'Revenue Forecast'!AO4*Driver_Marketing</f>
        <v>0</v>
      </c>
      <c r="AP21" s="9">
        <f>'Revenue Forecast'!AP4*Driver_Marketing</f>
        <v>0</v>
      </c>
      <c r="AQ21" s="9">
        <f>'Revenue Forecast'!AQ4*Driver_Marketing</f>
        <v>0</v>
      </c>
      <c r="AR21" s="9">
        <f>'Revenue Forecast'!AR4*Driver_Marketing</f>
        <v>0</v>
      </c>
      <c r="AS21" s="9">
        <f>'Revenue Forecast'!AS4*Driver_Marketing</f>
        <v>0</v>
      </c>
      <c r="AT21" s="9">
        <f>'Revenue Forecast'!AT4*Driver_Marketing</f>
        <v>0</v>
      </c>
      <c r="AU21" s="9">
        <f>'Revenue Forecast'!AU4*Driver_Marketing</f>
        <v>0</v>
      </c>
      <c r="AV21" s="9">
        <f>'Revenue Forecast'!AV4*Driver_Marketing</f>
        <v>0</v>
      </c>
      <c r="AW21" s="9">
        <f>'Revenue Forecast'!AW4*Driver_Marketing</f>
        <v>0</v>
      </c>
      <c r="AX21" s="9">
        <f>'Revenue Forecast'!AX4*Driver_Marketing</f>
        <v>0</v>
      </c>
      <c r="AY21" s="9">
        <f>'Revenue Forecast'!AY4*Driver_Marketing</f>
        <v>0</v>
      </c>
      <c r="AZ21" s="9">
        <f>'Revenue Forecast'!AZ4*Driver_Marketing</f>
        <v>0</v>
      </c>
      <c r="BA21" s="9">
        <f>'Revenue Forecast'!BA4*Driver_Marketing</f>
        <v>0</v>
      </c>
      <c r="BB21" s="9">
        <f>'Revenue Forecast'!BB4*Driver_Marketing</f>
        <v>0</v>
      </c>
      <c r="BC21" s="9">
        <f>'Revenue Forecast'!BC4*Driver_Marketing</f>
        <v>0</v>
      </c>
      <c r="BD21" s="9">
        <f>'Revenue Forecast'!BD4*Driver_Marketing</f>
        <v>0</v>
      </c>
      <c r="BE21" s="9">
        <f>'Revenue Forecast'!BE4*Driver_Marketing</f>
        <v>0</v>
      </c>
      <c r="BF21" s="9">
        <f>'Revenue Forecast'!BF4*Driver_Marketing</f>
        <v>0</v>
      </c>
      <c r="BG21" s="9">
        <f>'Revenue Forecast'!BG4*Driver_Marketing</f>
        <v>0</v>
      </c>
      <c r="BH21" s="9">
        <f>'Revenue Forecast'!BH4*Driver_Marketing</f>
        <v>0</v>
      </c>
      <c r="BI21" s="9">
        <f>'Revenue Forecast'!BI4*Driver_Marketing</f>
        <v>0</v>
      </c>
      <c r="BJ21" s="9">
        <f>'Revenue Forecast'!BJ4*Driver_Marketing</f>
        <v>0</v>
      </c>
    </row>
    <row r="22" spans="1:62">
      <c r="A22" t="s">
        <v>42</v>
      </c>
      <c r="B22" t="s">
        <v>9</v>
      </c>
      <c r="C22" s="9">
        <f>'Historical Data'!C16</f>
        <v>0</v>
      </c>
      <c r="D22" s="9">
        <f>'Historical Data'!D16</f>
        <v>0</v>
      </c>
      <c r="E22" s="9">
        <f>'Historical Data'!E16</f>
        <v>0</v>
      </c>
      <c r="F22" s="9">
        <f>'Historical Data'!F16</f>
        <v>0</v>
      </c>
      <c r="G22" s="9">
        <f>'Historical Data'!G16</f>
        <v>0</v>
      </c>
      <c r="H22" s="9">
        <f>'Historical Data'!H16</f>
        <v>0</v>
      </c>
      <c r="I22" s="9">
        <f>'Historical Data'!I16</f>
        <v>0</v>
      </c>
      <c r="J22" s="9">
        <f>'Historical Data'!J16</f>
        <v>0</v>
      </c>
      <c r="K22" s="9">
        <f>'Historical Data'!K16</f>
        <v>0</v>
      </c>
      <c r="L22" s="9">
        <f>'Historical Data'!L16</f>
        <v>0</v>
      </c>
      <c r="M22" s="9">
        <f>'Historical Data'!M16</f>
        <v>0</v>
      </c>
      <c r="N22" s="9">
        <f>'Historical Data'!N16</f>
        <v>0</v>
      </c>
      <c r="O22" s="9">
        <f>'Historical Data'!O16</f>
        <v>0</v>
      </c>
      <c r="P22" s="9">
        <f>'Historical Data'!P16</f>
        <v>0</v>
      </c>
      <c r="Q22" s="9">
        <f>'Historical Data'!Q16</f>
        <v>0</v>
      </c>
      <c r="R22" s="9">
        <f>'Historical Data'!R16</f>
        <v>0</v>
      </c>
      <c r="S22" s="9">
        <f>'Historical Data'!S16</f>
        <v>0</v>
      </c>
      <c r="T22" s="9">
        <f>'Historical Data'!T16</f>
        <v>0</v>
      </c>
      <c r="U22" s="9">
        <f>'Historical Data'!U16</f>
        <v>0</v>
      </c>
      <c r="V22" s="9">
        <f>'Historical Data'!V16</f>
        <v>0</v>
      </c>
      <c r="W22" s="9">
        <f>'Historical Data'!W16</f>
        <v>0</v>
      </c>
      <c r="X22" s="9">
        <f>'Historical Data'!X16</f>
        <v>0</v>
      </c>
      <c r="Y22" s="9">
        <f>'Historical Data'!Y16</f>
        <v>0</v>
      </c>
      <c r="Z22" s="9">
        <f>'Historical Data'!Z16</f>
        <v>0</v>
      </c>
      <c r="AA22" s="9">
        <f>'Historical Data'!AA16</f>
        <v>0</v>
      </c>
      <c r="AB22" s="9">
        <f>'Historical Data'!AB16</f>
        <v>0</v>
      </c>
      <c r="AC22" s="9">
        <f>'Historical Data'!AC16</f>
        <v>0</v>
      </c>
      <c r="AD22" s="9">
        <f>'Historical Data'!AD16</f>
        <v>0</v>
      </c>
      <c r="AE22" s="9">
        <f>'Historical Data'!AE16</f>
        <v>0</v>
      </c>
      <c r="AF22" s="9">
        <f>'Historical Data'!AF16</f>
        <v>0</v>
      </c>
      <c r="AG22" s="9">
        <f>'Historical Data'!AG16</f>
        <v>0</v>
      </c>
      <c r="AH22" s="9">
        <f>'Historical Data'!AH16</f>
        <v>0</v>
      </c>
      <c r="AI22" s="9">
        <f>'Historical Data'!AI16</f>
        <v>0</v>
      </c>
      <c r="AJ22" s="9">
        <f>'Historical Data'!AJ16</f>
        <v>0</v>
      </c>
      <c r="AK22" s="9">
        <f>'Historical Data'!AK16</f>
        <v>0</v>
      </c>
      <c r="AL22" s="9">
        <f>'Historical Data'!AL16</f>
        <v>0</v>
      </c>
      <c r="AM22" s="9">
        <f>'Revenue Forecast'!AM5*Driver_Marketing</f>
        <v>0</v>
      </c>
      <c r="AN22" s="9">
        <f>'Revenue Forecast'!AN5*Driver_Marketing</f>
        <v>0</v>
      </c>
      <c r="AO22" s="9">
        <f>'Revenue Forecast'!AO5*Driver_Marketing</f>
        <v>0</v>
      </c>
      <c r="AP22" s="9">
        <f>'Revenue Forecast'!AP5*Driver_Marketing</f>
        <v>0</v>
      </c>
      <c r="AQ22" s="9">
        <f>'Revenue Forecast'!AQ5*Driver_Marketing</f>
        <v>0</v>
      </c>
      <c r="AR22" s="9">
        <f>'Revenue Forecast'!AR5*Driver_Marketing</f>
        <v>0</v>
      </c>
      <c r="AS22" s="9">
        <f>'Revenue Forecast'!AS5*Driver_Marketing</f>
        <v>0</v>
      </c>
      <c r="AT22" s="9">
        <f>'Revenue Forecast'!AT5*Driver_Marketing</f>
        <v>0</v>
      </c>
      <c r="AU22" s="9">
        <f>'Revenue Forecast'!AU5*Driver_Marketing</f>
        <v>0</v>
      </c>
      <c r="AV22" s="9">
        <f>'Revenue Forecast'!AV5*Driver_Marketing</f>
        <v>0</v>
      </c>
      <c r="AW22" s="9">
        <f>'Revenue Forecast'!AW5*Driver_Marketing</f>
        <v>0</v>
      </c>
      <c r="AX22" s="9">
        <f>'Revenue Forecast'!AX5*Driver_Marketing</f>
        <v>0</v>
      </c>
      <c r="AY22" s="9">
        <f>'Revenue Forecast'!AY5*Driver_Marketing</f>
        <v>0</v>
      </c>
      <c r="AZ22" s="9">
        <f>'Revenue Forecast'!AZ5*Driver_Marketing</f>
        <v>0</v>
      </c>
      <c r="BA22" s="9">
        <f>'Revenue Forecast'!BA5*Driver_Marketing</f>
        <v>0</v>
      </c>
      <c r="BB22" s="9">
        <f>'Revenue Forecast'!BB5*Driver_Marketing</f>
        <v>0</v>
      </c>
      <c r="BC22" s="9">
        <f>'Revenue Forecast'!BC5*Driver_Marketing</f>
        <v>0</v>
      </c>
      <c r="BD22" s="9">
        <f>'Revenue Forecast'!BD5*Driver_Marketing</f>
        <v>0</v>
      </c>
      <c r="BE22" s="9">
        <f>'Revenue Forecast'!BE5*Driver_Marketing</f>
        <v>0</v>
      </c>
      <c r="BF22" s="9">
        <f>'Revenue Forecast'!BF5*Driver_Marketing</f>
        <v>0</v>
      </c>
      <c r="BG22" s="9">
        <f>'Revenue Forecast'!BG5*Driver_Marketing</f>
        <v>0</v>
      </c>
      <c r="BH22" s="9">
        <f>'Revenue Forecast'!BH5*Driver_Marketing</f>
        <v>0</v>
      </c>
      <c r="BI22" s="9">
        <f>'Revenue Forecast'!BI5*Driver_Marketing</f>
        <v>0</v>
      </c>
      <c r="BJ22" s="9">
        <f>'Revenue Forecast'!BJ5*Driver_Marketing</f>
        <v>0</v>
      </c>
    </row>
    <row r="23" spans="1:62">
      <c r="A23" t="s">
        <v>42</v>
      </c>
      <c r="B23" t="s">
        <v>10</v>
      </c>
      <c r="C23" s="9">
        <f>'Historical Data'!C24</f>
        <v>0</v>
      </c>
      <c r="D23" s="9">
        <f>'Historical Data'!D24</f>
        <v>0</v>
      </c>
      <c r="E23" s="9">
        <f>'Historical Data'!E24</f>
        <v>0</v>
      </c>
      <c r="F23" s="9">
        <f>'Historical Data'!F24</f>
        <v>0</v>
      </c>
      <c r="G23" s="9">
        <f>'Historical Data'!G24</f>
        <v>0</v>
      </c>
      <c r="H23" s="9">
        <f>'Historical Data'!H24</f>
        <v>0</v>
      </c>
      <c r="I23" s="9">
        <f>'Historical Data'!I24</f>
        <v>0</v>
      </c>
      <c r="J23" s="9">
        <f>'Historical Data'!J24</f>
        <v>0</v>
      </c>
      <c r="K23" s="9">
        <f>'Historical Data'!K24</f>
        <v>0</v>
      </c>
      <c r="L23" s="9">
        <f>'Historical Data'!L24</f>
        <v>0</v>
      </c>
      <c r="M23" s="9">
        <f>'Historical Data'!M24</f>
        <v>0</v>
      </c>
      <c r="N23" s="9">
        <f>'Historical Data'!N24</f>
        <v>0</v>
      </c>
      <c r="O23" s="9">
        <f>'Historical Data'!O24</f>
        <v>0</v>
      </c>
      <c r="P23" s="9">
        <f>'Historical Data'!P24</f>
        <v>0</v>
      </c>
      <c r="Q23" s="9">
        <f>'Historical Data'!Q24</f>
        <v>0</v>
      </c>
      <c r="R23" s="9">
        <f>'Historical Data'!R24</f>
        <v>0</v>
      </c>
      <c r="S23" s="9">
        <f>'Historical Data'!S24</f>
        <v>0</v>
      </c>
      <c r="T23" s="9">
        <f>'Historical Data'!T24</f>
        <v>0</v>
      </c>
      <c r="U23" s="9">
        <f>'Historical Data'!U24</f>
        <v>0</v>
      </c>
      <c r="V23" s="9">
        <f>'Historical Data'!V24</f>
        <v>0</v>
      </c>
      <c r="W23" s="9">
        <f>'Historical Data'!W24</f>
        <v>0</v>
      </c>
      <c r="X23" s="9">
        <f>'Historical Data'!X24</f>
        <v>0</v>
      </c>
      <c r="Y23" s="9">
        <f>'Historical Data'!Y24</f>
        <v>0</v>
      </c>
      <c r="Z23" s="9">
        <f>'Historical Data'!Z24</f>
        <v>0</v>
      </c>
      <c r="AA23" s="9">
        <f>'Historical Data'!AA24</f>
        <v>0</v>
      </c>
      <c r="AB23" s="9">
        <f>'Historical Data'!AB24</f>
        <v>0</v>
      </c>
      <c r="AC23" s="9">
        <f>'Historical Data'!AC24</f>
        <v>0</v>
      </c>
      <c r="AD23" s="9">
        <f>'Historical Data'!AD24</f>
        <v>0</v>
      </c>
      <c r="AE23" s="9">
        <f>'Historical Data'!AE24</f>
        <v>0</v>
      </c>
      <c r="AF23" s="9">
        <f>'Historical Data'!AF24</f>
        <v>0</v>
      </c>
      <c r="AG23" s="9">
        <f>'Historical Data'!AG24</f>
        <v>0</v>
      </c>
      <c r="AH23" s="9">
        <f>'Historical Data'!AH24</f>
        <v>0</v>
      </c>
      <c r="AI23" s="9">
        <f>'Historical Data'!AI24</f>
        <v>0</v>
      </c>
      <c r="AJ23" s="9">
        <f>'Historical Data'!AJ24</f>
        <v>0</v>
      </c>
      <c r="AK23" s="9">
        <f>'Historical Data'!AK24</f>
        <v>0</v>
      </c>
      <c r="AL23" s="9">
        <f>'Historical Data'!AL24</f>
        <v>0</v>
      </c>
      <c r="AM23" s="9">
        <f>'Revenue Forecast'!AM6*Driver_Marketing</f>
        <v>0</v>
      </c>
      <c r="AN23" s="9">
        <f>'Revenue Forecast'!AN6*Driver_Marketing</f>
        <v>0</v>
      </c>
      <c r="AO23" s="9">
        <f>'Revenue Forecast'!AO6*Driver_Marketing</f>
        <v>0</v>
      </c>
      <c r="AP23" s="9">
        <f>'Revenue Forecast'!AP6*Driver_Marketing</f>
        <v>0</v>
      </c>
      <c r="AQ23" s="9">
        <f>'Revenue Forecast'!AQ6*Driver_Marketing</f>
        <v>0</v>
      </c>
      <c r="AR23" s="9">
        <f>'Revenue Forecast'!AR6*Driver_Marketing</f>
        <v>0</v>
      </c>
      <c r="AS23" s="9">
        <f>'Revenue Forecast'!AS6*Driver_Marketing</f>
        <v>0</v>
      </c>
      <c r="AT23" s="9">
        <f>'Revenue Forecast'!AT6*Driver_Marketing</f>
        <v>0</v>
      </c>
      <c r="AU23" s="9">
        <f>'Revenue Forecast'!AU6*Driver_Marketing</f>
        <v>0</v>
      </c>
      <c r="AV23" s="9">
        <f>'Revenue Forecast'!AV6*Driver_Marketing</f>
        <v>0</v>
      </c>
      <c r="AW23" s="9">
        <f>'Revenue Forecast'!AW6*Driver_Marketing</f>
        <v>0</v>
      </c>
      <c r="AX23" s="9">
        <f>'Revenue Forecast'!AX6*Driver_Marketing</f>
        <v>0</v>
      </c>
      <c r="AY23" s="9">
        <f>'Revenue Forecast'!AY6*Driver_Marketing</f>
        <v>0</v>
      </c>
      <c r="AZ23" s="9">
        <f>'Revenue Forecast'!AZ6*Driver_Marketing</f>
        <v>0</v>
      </c>
      <c r="BA23" s="9">
        <f>'Revenue Forecast'!BA6*Driver_Marketing</f>
        <v>0</v>
      </c>
      <c r="BB23" s="9">
        <f>'Revenue Forecast'!BB6*Driver_Marketing</f>
        <v>0</v>
      </c>
      <c r="BC23" s="9">
        <f>'Revenue Forecast'!BC6*Driver_Marketing</f>
        <v>0</v>
      </c>
      <c r="BD23" s="9">
        <f>'Revenue Forecast'!BD6*Driver_Marketing</f>
        <v>0</v>
      </c>
      <c r="BE23" s="9">
        <f>'Revenue Forecast'!BE6*Driver_Marketing</f>
        <v>0</v>
      </c>
      <c r="BF23" s="9">
        <f>'Revenue Forecast'!BF6*Driver_Marketing</f>
        <v>0</v>
      </c>
      <c r="BG23" s="9">
        <f>'Revenue Forecast'!BG6*Driver_Marketing</f>
        <v>0</v>
      </c>
      <c r="BH23" s="9">
        <f>'Revenue Forecast'!BH6*Driver_Marketing</f>
        <v>0</v>
      </c>
      <c r="BI23" s="9">
        <f>'Revenue Forecast'!BI6*Driver_Marketing</f>
        <v>0</v>
      </c>
      <c r="BJ23" s="9">
        <f>'Revenue Forecast'!BJ6*Driver_Marketing</f>
        <v>0</v>
      </c>
    </row>
    <row r="24" spans="1:62">
      <c r="A24" t="s">
        <v>42</v>
      </c>
      <c r="B24" t="s">
        <v>11</v>
      </c>
      <c r="C24" s="9">
        <f>'Historical Data'!C32</f>
        <v>0</v>
      </c>
      <c r="D24" s="9">
        <f>'Historical Data'!D32</f>
        <v>0</v>
      </c>
      <c r="E24" s="9">
        <f>'Historical Data'!E32</f>
        <v>0</v>
      </c>
      <c r="F24" s="9">
        <f>'Historical Data'!F32</f>
        <v>0</v>
      </c>
      <c r="G24" s="9">
        <f>'Historical Data'!G32</f>
        <v>0</v>
      </c>
      <c r="H24" s="9">
        <f>'Historical Data'!H32</f>
        <v>0</v>
      </c>
      <c r="I24" s="9">
        <f>'Historical Data'!I32</f>
        <v>0</v>
      </c>
      <c r="J24" s="9">
        <f>'Historical Data'!J32</f>
        <v>0</v>
      </c>
      <c r="K24" s="9">
        <f>'Historical Data'!K32</f>
        <v>0</v>
      </c>
      <c r="L24" s="9">
        <f>'Historical Data'!L32</f>
        <v>0</v>
      </c>
      <c r="M24" s="9">
        <f>'Historical Data'!M32</f>
        <v>0</v>
      </c>
      <c r="N24" s="9">
        <f>'Historical Data'!N32</f>
        <v>0</v>
      </c>
      <c r="O24" s="9">
        <f>'Historical Data'!O32</f>
        <v>0</v>
      </c>
      <c r="P24" s="9">
        <f>'Historical Data'!P32</f>
        <v>0</v>
      </c>
      <c r="Q24" s="9">
        <f>'Historical Data'!Q32</f>
        <v>0</v>
      </c>
      <c r="R24" s="9">
        <f>'Historical Data'!R32</f>
        <v>0</v>
      </c>
      <c r="S24" s="9">
        <f>'Historical Data'!S32</f>
        <v>0</v>
      </c>
      <c r="T24" s="9">
        <f>'Historical Data'!T32</f>
        <v>0</v>
      </c>
      <c r="U24" s="9">
        <f>'Historical Data'!U32</f>
        <v>0</v>
      </c>
      <c r="V24" s="9">
        <f>'Historical Data'!V32</f>
        <v>0</v>
      </c>
      <c r="W24" s="9">
        <f>'Historical Data'!W32</f>
        <v>0</v>
      </c>
      <c r="X24" s="9">
        <f>'Historical Data'!X32</f>
        <v>0</v>
      </c>
      <c r="Y24" s="9">
        <f>'Historical Data'!Y32</f>
        <v>0</v>
      </c>
      <c r="Z24" s="9">
        <f>'Historical Data'!Z32</f>
        <v>0</v>
      </c>
      <c r="AA24" s="9">
        <f>'Historical Data'!AA32</f>
        <v>0</v>
      </c>
      <c r="AB24" s="9">
        <f>'Historical Data'!AB32</f>
        <v>0</v>
      </c>
      <c r="AC24" s="9">
        <f>'Historical Data'!AC32</f>
        <v>0</v>
      </c>
      <c r="AD24" s="9">
        <f>'Historical Data'!AD32</f>
        <v>0</v>
      </c>
      <c r="AE24" s="9">
        <f>'Historical Data'!AE32</f>
        <v>0</v>
      </c>
      <c r="AF24" s="9">
        <f>'Historical Data'!AF32</f>
        <v>0</v>
      </c>
      <c r="AG24" s="9">
        <f>'Historical Data'!AG32</f>
        <v>0</v>
      </c>
      <c r="AH24" s="9">
        <f>'Historical Data'!AH32</f>
        <v>0</v>
      </c>
      <c r="AI24" s="9">
        <f>'Historical Data'!AI32</f>
        <v>0</v>
      </c>
      <c r="AJ24" s="9">
        <f>'Historical Data'!AJ32</f>
        <v>0</v>
      </c>
      <c r="AK24" s="9">
        <f>'Historical Data'!AK32</f>
        <v>0</v>
      </c>
      <c r="AL24" s="9">
        <f>'Historical Data'!AL32</f>
        <v>0</v>
      </c>
      <c r="AM24" s="9">
        <f>'Revenue Forecast'!AM7*Driver_Marketing</f>
        <v>0</v>
      </c>
      <c r="AN24" s="9">
        <f>'Revenue Forecast'!AN7*Driver_Marketing</f>
        <v>0</v>
      </c>
      <c r="AO24" s="9">
        <f>'Revenue Forecast'!AO7*Driver_Marketing</f>
        <v>0</v>
      </c>
      <c r="AP24" s="9">
        <f>'Revenue Forecast'!AP7*Driver_Marketing</f>
        <v>0</v>
      </c>
      <c r="AQ24" s="9">
        <f>'Revenue Forecast'!AQ7*Driver_Marketing</f>
        <v>0</v>
      </c>
      <c r="AR24" s="9">
        <f>'Revenue Forecast'!AR7*Driver_Marketing</f>
        <v>0</v>
      </c>
      <c r="AS24" s="9">
        <f>'Revenue Forecast'!AS7*Driver_Marketing</f>
        <v>0</v>
      </c>
      <c r="AT24" s="9">
        <f>'Revenue Forecast'!AT7*Driver_Marketing</f>
        <v>0</v>
      </c>
      <c r="AU24" s="9">
        <f>'Revenue Forecast'!AU7*Driver_Marketing</f>
        <v>0</v>
      </c>
      <c r="AV24" s="9">
        <f>'Revenue Forecast'!AV7*Driver_Marketing</f>
        <v>0</v>
      </c>
      <c r="AW24" s="9">
        <f>'Revenue Forecast'!AW7*Driver_Marketing</f>
        <v>0</v>
      </c>
      <c r="AX24" s="9">
        <f>'Revenue Forecast'!AX7*Driver_Marketing</f>
        <v>0</v>
      </c>
      <c r="AY24" s="9">
        <f>'Revenue Forecast'!AY7*Driver_Marketing</f>
        <v>0</v>
      </c>
      <c r="AZ24" s="9">
        <f>'Revenue Forecast'!AZ7*Driver_Marketing</f>
        <v>0</v>
      </c>
      <c r="BA24" s="9">
        <f>'Revenue Forecast'!BA7*Driver_Marketing</f>
        <v>0</v>
      </c>
      <c r="BB24" s="9">
        <f>'Revenue Forecast'!BB7*Driver_Marketing</f>
        <v>0</v>
      </c>
      <c r="BC24" s="9">
        <f>'Revenue Forecast'!BC7*Driver_Marketing</f>
        <v>0</v>
      </c>
      <c r="BD24" s="9">
        <f>'Revenue Forecast'!BD7*Driver_Marketing</f>
        <v>0</v>
      </c>
      <c r="BE24" s="9">
        <f>'Revenue Forecast'!BE7*Driver_Marketing</f>
        <v>0</v>
      </c>
      <c r="BF24" s="9">
        <f>'Revenue Forecast'!BF7*Driver_Marketing</f>
        <v>0</v>
      </c>
      <c r="BG24" s="9">
        <f>'Revenue Forecast'!BG7*Driver_Marketing</f>
        <v>0</v>
      </c>
      <c r="BH24" s="9">
        <f>'Revenue Forecast'!BH7*Driver_Marketing</f>
        <v>0</v>
      </c>
      <c r="BI24" s="9">
        <f>'Revenue Forecast'!BI7*Driver_Marketing</f>
        <v>0</v>
      </c>
      <c r="BJ24" s="9">
        <f>'Revenue Forecast'!BJ7*Driver_Marketing</f>
        <v>0</v>
      </c>
    </row>
    <row r="25" spans="1:62">
      <c r="A25" t="s">
        <v>42</v>
      </c>
      <c r="B25" t="s">
        <v>12</v>
      </c>
      <c r="C25" s="9">
        <f>'Historical Data'!C40</f>
        <v>0</v>
      </c>
      <c r="D25" s="9">
        <f>'Historical Data'!D40</f>
        <v>0</v>
      </c>
      <c r="E25" s="9">
        <f>'Historical Data'!E40</f>
        <v>0</v>
      </c>
      <c r="F25" s="9">
        <f>'Historical Data'!F40</f>
        <v>0</v>
      </c>
      <c r="G25" s="9">
        <f>'Historical Data'!G40</f>
        <v>0</v>
      </c>
      <c r="H25" s="9">
        <f>'Historical Data'!H40</f>
        <v>0</v>
      </c>
      <c r="I25" s="9">
        <f>'Historical Data'!I40</f>
        <v>0</v>
      </c>
      <c r="J25" s="9">
        <f>'Historical Data'!J40</f>
        <v>0</v>
      </c>
      <c r="K25" s="9">
        <f>'Historical Data'!K40</f>
        <v>0</v>
      </c>
      <c r="L25" s="9">
        <f>'Historical Data'!L40</f>
        <v>0</v>
      </c>
      <c r="M25" s="9">
        <f>'Historical Data'!M40</f>
        <v>0</v>
      </c>
      <c r="N25" s="9">
        <f>'Historical Data'!N40</f>
        <v>0</v>
      </c>
      <c r="O25" s="9">
        <f>'Historical Data'!O40</f>
        <v>0</v>
      </c>
      <c r="P25" s="9">
        <f>'Historical Data'!P40</f>
        <v>0</v>
      </c>
      <c r="Q25" s="9">
        <f>'Historical Data'!Q40</f>
        <v>0</v>
      </c>
      <c r="R25" s="9">
        <f>'Historical Data'!R40</f>
        <v>0</v>
      </c>
      <c r="S25" s="9">
        <f>'Historical Data'!S40</f>
        <v>0</v>
      </c>
      <c r="T25" s="9">
        <f>'Historical Data'!T40</f>
        <v>0</v>
      </c>
      <c r="U25" s="9">
        <f>'Historical Data'!U40</f>
        <v>0</v>
      </c>
      <c r="V25" s="9">
        <f>'Historical Data'!V40</f>
        <v>0</v>
      </c>
      <c r="W25" s="9">
        <f>'Historical Data'!W40</f>
        <v>0</v>
      </c>
      <c r="X25" s="9">
        <f>'Historical Data'!X40</f>
        <v>0</v>
      </c>
      <c r="Y25" s="9">
        <f>'Historical Data'!Y40</f>
        <v>0</v>
      </c>
      <c r="Z25" s="9">
        <f>'Historical Data'!Z40</f>
        <v>0</v>
      </c>
      <c r="AA25" s="9">
        <f>'Historical Data'!AA40</f>
        <v>0</v>
      </c>
      <c r="AB25" s="9">
        <f>'Historical Data'!AB40</f>
        <v>0</v>
      </c>
      <c r="AC25" s="9">
        <f>'Historical Data'!AC40</f>
        <v>0</v>
      </c>
      <c r="AD25" s="9">
        <f>'Historical Data'!AD40</f>
        <v>0</v>
      </c>
      <c r="AE25" s="9">
        <f>'Historical Data'!AE40</f>
        <v>0</v>
      </c>
      <c r="AF25" s="9">
        <f>'Historical Data'!AF40</f>
        <v>0</v>
      </c>
      <c r="AG25" s="9">
        <f>'Historical Data'!AG40</f>
        <v>0</v>
      </c>
      <c r="AH25" s="9">
        <f>'Historical Data'!AH40</f>
        <v>0</v>
      </c>
      <c r="AI25" s="9">
        <f>'Historical Data'!AI40</f>
        <v>0</v>
      </c>
      <c r="AJ25" s="9">
        <f>'Historical Data'!AJ40</f>
        <v>0</v>
      </c>
      <c r="AK25" s="9">
        <f>'Historical Data'!AK40</f>
        <v>0</v>
      </c>
      <c r="AL25" s="9">
        <f>'Historical Data'!AL40</f>
        <v>0</v>
      </c>
      <c r="AM25" s="9">
        <f>'Revenue Forecast'!AM8*Driver_Marketing</f>
        <v>0</v>
      </c>
      <c r="AN25" s="9">
        <f>'Revenue Forecast'!AN8*Driver_Marketing</f>
        <v>0</v>
      </c>
      <c r="AO25" s="9">
        <f>'Revenue Forecast'!AO8*Driver_Marketing</f>
        <v>0</v>
      </c>
      <c r="AP25" s="9">
        <f>'Revenue Forecast'!AP8*Driver_Marketing</f>
        <v>0</v>
      </c>
      <c r="AQ25" s="9">
        <f>'Revenue Forecast'!AQ8*Driver_Marketing</f>
        <v>0</v>
      </c>
      <c r="AR25" s="9">
        <f>'Revenue Forecast'!AR8*Driver_Marketing</f>
        <v>0</v>
      </c>
      <c r="AS25" s="9">
        <f>'Revenue Forecast'!AS8*Driver_Marketing</f>
        <v>0</v>
      </c>
      <c r="AT25" s="9">
        <f>'Revenue Forecast'!AT8*Driver_Marketing</f>
        <v>0</v>
      </c>
      <c r="AU25" s="9">
        <f>'Revenue Forecast'!AU8*Driver_Marketing</f>
        <v>0</v>
      </c>
      <c r="AV25" s="9">
        <f>'Revenue Forecast'!AV8*Driver_Marketing</f>
        <v>0</v>
      </c>
      <c r="AW25" s="9">
        <f>'Revenue Forecast'!AW8*Driver_Marketing</f>
        <v>0</v>
      </c>
      <c r="AX25" s="9">
        <f>'Revenue Forecast'!AX8*Driver_Marketing</f>
        <v>0</v>
      </c>
      <c r="AY25" s="9">
        <f>'Revenue Forecast'!AY8*Driver_Marketing</f>
        <v>0</v>
      </c>
      <c r="AZ25" s="9">
        <f>'Revenue Forecast'!AZ8*Driver_Marketing</f>
        <v>0</v>
      </c>
      <c r="BA25" s="9">
        <f>'Revenue Forecast'!BA8*Driver_Marketing</f>
        <v>0</v>
      </c>
      <c r="BB25" s="9">
        <f>'Revenue Forecast'!BB8*Driver_Marketing</f>
        <v>0</v>
      </c>
      <c r="BC25" s="9">
        <f>'Revenue Forecast'!BC8*Driver_Marketing</f>
        <v>0</v>
      </c>
      <c r="BD25" s="9">
        <f>'Revenue Forecast'!BD8*Driver_Marketing</f>
        <v>0</v>
      </c>
      <c r="BE25" s="9">
        <f>'Revenue Forecast'!BE8*Driver_Marketing</f>
        <v>0</v>
      </c>
      <c r="BF25" s="9">
        <f>'Revenue Forecast'!BF8*Driver_Marketing</f>
        <v>0</v>
      </c>
      <c r="BG25" s="9">
        <f>'Revenue Forecast'!BG8*Driver_Marketing</f>
        <v>0</v>
      </c>
      <c r="BH25" s="9">
        <f>'Revenue Forecast'!BH8*Driver_Marketing</f>
        <v>0</v>
      </c>
      <c r="BI25" s="9">
        <f>'Revenue Forecast'!BI8*Driver_Marketing</f>
        <v>0</v>
      </c>
      <c r="BJ25" s="9">
        <f>'Revenue Forecast'!BJ8*Driver_Marketing</f>
        <v>0</v>
      </c>
    </row>
    <row r="26" spans="1:62">
      <c r="A26" s="10" t="s">
        <v>55</v>
      </c>
      <c r="C26" s="10">
        <f>SUM(C21:C25)</f>
        <v>0</v>
      </c>
      <c r="D26" s="10">
        <f>SUM(D21:D25)</f>
        <v>0</v>
      </c>
      <c r="E26" s="10">
        <f>SUM(E21:E25)</f>
        <v>0</v>
      </c>
      <c r="F26" s="10">
        <f>SUM(F21:F25)</f>
        <v>0</v>
      </c>
      <c r="G26" s="10">
        <f>SUM(G21:G25)</f>
        <v>0</v>
      </c>
      <c r="H26" s="10">
        <f>SUM(H21:H25)</f>
        <v>0</v>
      </c>
      <c r="I26" s="10">
        <f>SUM(I21:I25)</f>
        <v>0</v>
      </c>
      <c r="J26" s="10">
        <f>SUM(J21:J25)</f>
        <v>0</v>
      </c>
      <c r="K26" s="10">
        <f>SUM(K21:K25)</f>
        <v>0</v>
      </c>
      <c r="L26" s="10">
        <f>SUM(L21:L25)</f>
        <v>0</v>
      </c>
      <c r="M26" s="10">
        <f>SUM(M21:M25)</f>
        <v>0</v>
      </c>
      <c r="N26" s="10">
        <f>SUM(N21:N25)</f>
        <v>0</v>
      </c>
      <c r="O26" s="10">
        <f>SUM(O21:O25)</f>
        <v>0</v>
      </c>
      <c r="P26" s="10">
        <f>SUM(P21:P25)</f>
        <v>0</v>
      </c>
      <c r="Q26" s="10">
        <f>SUM(Q21:Q25)</f>
        <v>0</v>
      </c>
      <c r="R26" s="10">
        <f>SUM(R21:R25)</f>
        <v>0</v>
      </c>
      <c r="S26" s="10">
        <f>SUM(S21:S25)</f>
        <v>0</v>
      </c>
      <c r="T26" s="10">
        <f>SUM(T21:T25)</f>
        <v>0</v>
      </c>
      <c r="U26" s="10">
        <f>SUM(U21:U25)</f>
        <v>0</v>
      </c>
      <c r="V26" s="10">
        <f>SUM(V21:V25)</f>
        <v>0</v>
      </c>
      <c r="W26" s="10">
        <f>SUM(W21:W25)</f>
        <v>0</v>
      </c>
      <c r="X26" s="10">
        <f>SUM(X21:X25)</f>
        <v>0</v>
      </c>
      <c r="Y26" s="10">
        <f>SUM(Y21:Y25)</f>
        <v>0</v>
      </c>
      <c r="Z26" s="10">
        <f>SUM(Z21:Z25)</f>
        <v>0</v>
      </c>
      <c r="AA26" s="10">
        <f>SUM(AA21:AA25)</f>
        <v>0</v>
      </c>
      <c r="AB26" s="10">
        <f>SUM(AB21:AB25)</f>
        <v>0</v>
      </c>
      <c r="AC26" s="10">
        <f>SUM(AC21:AC25)</f>
        <v>0</v>
      </c>
      <c r="AD26" s="10">
        <f>SUM(AD21:AD25)</f>
        <v>0</v>
      </c>
      <c r="AE26" s="10">
        <f>SUM(AE21:AE25)</f>
        <v>0</v>
      </c>
      <c r="AF26" s="10">
        <f>SUM(AF21:AF25)</f>
        <v>0</v>
      </c>
      <c r="AG26" s="10">
        <f>SUM(AG21:AG25)</f>
        <v>0</v>
      </c>
      <c r="AH26" s="10">
        <f>SUM(AH21:AH25)</f>
        <v>0</v>
      </c>
      <c r="AI26" s="10">
        <f>SUM(AI21:AI25)</f>
        <v>0</v>
      </c>
      <c r="AJ26" s="10">
        <f>SUM(AJ21:AJ25)</f>
        <v>0</v>
      </c>
      <c r="AK26" s="10">
        <f>SUM(AK21:AK25)</f>
        <v>0</v>
      </c>
      <c r="AL26" s="10">
        <f>SUM(AL21:AL25)</f>
        <v>0</v>
      </c>
      <c r="AM26" s="10">
        <f>SUM(AM21:AM25)</f>
        <v>0</v>
      </c>
      <c r="AN26" s="10">
        <f>SUM(AN21:AN25)</f>
        <v>0</v>
      </c>
      <c r="AO26" s="10">
        <f>SUM(AO21:AO25)</f>
        <v>0</v>
      </c>
      <c r="AP26" s="10">
        <f>SUM(AP21:AP25)</f>
        <v>0</v>
      </c>
      <c r="AQ26" s="10">
        <f>SUM(AQ21:AQ25)</f>
        <v>0</v>
      </c>
      <c r="AR26" s="10">
        <f>SUM(AR21:AR25)</f>
        <v>0</v>
      </c>
      <c r="AS26" s="10">
        <f>SUM(AS21:AS25)</f>
        <v>0</v>
      </c>
      <c r="AT26" s="10">
        <f>SUM(AT21:AT25)</f>
        <v>0</v>
      </c>
      <c r="AU26" s="10">
        <f>SUM(AU21:AU25)</f>
        <v>0</v>
      </c>
      <c r="AV26" s="10">
        <f>SUM(AV21:AV25)</f>
        <v>0</v>
      </c>
      <c r="AW26" s="10">
        <f>SUM(AW21:AW25)</f>
        <v>0</v>
      </c>
      <c r="AX26" s="10">
        <f>SUM(AX21:AX25)</f>
        <v>0</v>
      </c>
      <c r="AY26" s="10">
        <f>SUM(AY21:AY25)</f>
        <v>0</v>
      </c>
      <c r="AZ26" s="10">
        <f>SUM(AZ21:AZ25)</f>
        <v>0</v>
      </c>
      <c r="BA26" s="10">
        <f>SUM(BA21:BA25)</f>
        <v>0</v>
      </c>
      <c r="BB26" s="10">
        <f>SUM(BB21:BB25)</f>
        <v>0</v>
      </c>
      <c r="BC26" s="10">
        <f>SUM(BC21:BC25)</f>
        <v>0</v>
      </c>
      <c r="BD26" s="10">
        <f>SUM(BD21:BD25)</f>
        <v>0</v>
      </c>
      <c r="BE26" s="10">
        <f>SUM(BE21:BE25)</f>
        <v>0</v>
      </c>
      <c r="BF26" s="10">
        <f>SUM(BF21:BF25)</f>
        <v>0</v>
      </c>
      <c r="BG26" s="10">
        <f>SUM(BG21:BG25)</f>
        <v>0</v>
      </c>
      <c r="BH26" s="10">
        <f>SUM(BH21:BH25)</f>
        <v>0</v>
      </c>
      <c r="BI26" s="10">
        <f>SUM(BI21:BI25)</f>
        <v>0</v>
      </c>
      <c r="BJ26" s="10">
        <f>SUM(BJ21:BJ25)</f>
        <v>0</v>
      </c>
    </row>
    <row r="28" spans="1:62">
      <c r="A28" s="2" t="s">
        <v>43</v>
      </c>
    </row>
    <row r="29" spans="1:62">
      <c r="A29" t="s">
        <v>43</v>
      </c>
      <c r="B29" t="s">
        <v>8</v>
      </c>
      <c r="C29" s="9">
        <f>'Historical Data'!C9</f>
        <v>0</v>
      </c>
      <c r="D29" s="9">
        <f>'Historical Data'!D9</f>
        <v>0</v>
      </c>
      <c r="E29" s="9">
        <f>'Historical Data'!E9</f>
        <v>0</v>
      </c>
      <c r="F29" s="9">
        <f>'Historical Data'!F9</f>
        <v>0</v>
      </c>
      <c r="G29" s="9">
        <f>'Historical Data'!G9</f>
        <v>0</v>
      </c>
      <c r="H29" s="9">
        <f>'Historical Data'!H9</f>
        <v>0</v>
      </c>
      <c r="I29" s="9">
        <f>'Historical Data'!I9</f>
        <v>0</v>
      </c>
      <c r="J29" s="9">
        <f>'Historical Data'!J9</f>
        <v>0</v>
      </c>
      <c r="K29" s="9">
        <f>'Historical Data'!K9</f>
        <v>0</v>
      </c>
      <c r="L29" s="9">
        <f>'Historical Data'!L9</f>
        <v>0</v>
      </c>
      <c r="M29" s="9">
        <f>'Historical Data'!M9</f>
        <v>0</v>
      </c>
      <c r="N29" s="9">
        <f>'Historical Data'!N9</f>
        <v>0</v>
      </c>
      <c r="O29" s="9">
        <f>'Historical Data'!O9</f>
        <v>0</v>
      </c>
      <c r="P29" s="9">
        <f>'Historical Data'!P9</f>
        <v>0</v>
      </c>
      <c r="Q29" s="9">
        <f>'Historical Data'!Q9</f>
        <v>0</v>
      </c>
      <c r="R29" s="9">
        <f>'Historical Data'!R9</f>
        <v>0</v>
      </c>
      <c r="S29" s="9">
        <f>'Historical Data'!S9</f>
        <v>0</v>
      </c>
      <c r="T29" s="9">
        <f>'Historical Data'!T9</f>
        <v>0</v>
      </c>
      <c r="U29" s="9">
        <f>'Historical Data'!U9</f>
        <v>0</v>
      </c>
      <c r="V29" s="9">
        <f>'Historical Data'!V9</f>
        <v>0</v>
      </c>
      <c r="W29" s="9">
        <f>'Historical Data'!W9</f>
        <v>0</v>
      </c>
      <c r="X29" s="9">
        <f>'Historical Data'!X9</f>
        <v>0</v>
      </c>
      <c r="Y29" s="9">
        <f>'Historical Data'!Y9</f>
        <v>0</v>
      </c>
      <c r="Z29" s="9">
        <f>'Historical Data'!Z9</f>
        <v>0</v>
      </c>
      <c r="AA29" s="9">
        <f>'Historical Data'!AA9</f>
        <v>0</v>
      </c>
      <c r="AB29" s="9">
        <f>'Historical Data'!AB9</f>
        <v>0</v>
      </c>
      <c r="AC29" s="9">
        <f>'Historical Data'!AC9</f>
        <v>0</v>
      </c>
      <c r="AD29" s="9">
        <f>'Historical Data'!AD9</f>
        <v>0</v>
      </c>
      <c r="AE29" s="9">
        <f>'Historical Data'!AE9</f>
        <v>0</v>
      </c>
      <c r="AF29" s="9">
        <f>'Historical Data'!AF9</f>
        <v>0</v>
      </c>
      <c r="AG29" s="9">
        <f>'Historical Data'!AG9</f>
        <v>0</v>
      </c>
      <c r="AH29" s="9">
        <f>'Historical Data'!AH9</f>
        <v>0</v>
      </c>
      <c r="AI29" s="9">
        <f>'Historical Data'!AI9</f>
        <v>0</v>
      </c>
      <c r="AJ29" s="9">
        <f>'Historical Data'!AJ9</f>
        <v>0</v>
      </c>
      <c r="AK29" s="9">
        <f>'Historical Data'!AK9</f>
        <v>0</v>
      </c>
      <c r="AL29" s="9">
        <f>'Historical Data'!AL9</f>
        <v>0</v>
      </c>
      <c r="AM29" s="9">
        <f>'Revenue Forecast'!AM4*Driver_Utilities</f>
        <v>0</v>
      </c>
      <c r="AN29" s="9">
        <f>'Revenue Forecast'!AN4*Driver_Utilities</f>
        <v>0</v>
      </c>
      <c r="AO29" s="9">
        <f>'Revenue Forecast'!AO4*Driver_Utilities</f>
        <v>0</v>
      </c>
      <c r="AP29" s="9">
        <f>'Revenue Forecast'!AP4*Driver_Utilities</f>
        <v>0</v>
      </c>
      <c r="AQ29" s="9">
        <f>'Revenue Forecast'!AQ4*Driver_Utilities</f>
        <v>0</v>
      </c>
      <c r="AR29" s="9">
        <f>'Revenue Forecast'!AR4*Driver_Utilities</f>
        <v>0</v>
      </c>
      <c r="AS29" s="9">
        <f>'Revenue Forecast'!AS4*Driver_Utilities</f>
        <v>0</v>
      </c>
      <c r="AT29" s="9">
        <f>'Revenue Forecast'!AT4*Driver_Utilities</f>
        <v>0</v>
      </c>
      <c r="AU29" s="9">
        <f>'Revenue Forecast'!AU4*Driver_Utilities</f>
        <v>0</v>
      </c>
      <c r="AV29" s="9">
        <f>'Revenue Forecast'!AV4*Driver_Utilities</f>
        <v>0</v>
      </c>
      <c r="AW29" s="9">
        <f>'Revenue Forecast'!AW4*Driver_Utilities</f>
        <v>0</v>
      </c>
      <c r="AX29" s="9">
        <f>'Revenue Forecast'!AX4*Driver_Utilities</f>
        <v>0</v>
      </c>
      <c r="AY29" s="9">
        <f>'Revenue Forecast'!AY4*Driver_Utilities</f>
        <v>0</v>
      </c>
      <c r="AZ29" s="9">
        <f>'Revenue Forecast'!AZ4*Driver_Utilities</f>
        <v>0</v>
      </c>
      <c r="BA29" s="9">
        <f>'Revenue Forecast'!BA4*Driver_Utilities</f>
        <v>0</v>
      </c>
      <c r="BB29" s="9">
        <f>'Revenue Forecast'!BB4*Driver_Utilities</f>
        <v>0</v>
      </c>
      <c r="BC29" s="9">
        <f>'Revenue Forecast'!BC4*Driver_Utilities</f>
        <v>0</v>
      </c>
      <c r="BD29" s="9">
        <f>'Revenue Forecast'!BD4*Driver_Utilities</f>
        <v>0</v>
      </c>
      <c r="BE29" s="9">
        <f>'Revenue Forecast'!BE4*Driver_Utilities</f>
        <v>0</v>
      </c>
      <c r="BF29" s="9">
        <f>'Revenue Forecast'!BF4*Driver_Utilities</f>
        <v>0</v>
      </c>
      <c r="BG29" s="9">
        <f>'Revenue Forecast'!BG4*Driver_Utilities</f>
        <v>0</v>
      </c>
      <c r="BH29" s="9">
        <f>'Revenue Forecast'!BH4*Driver_Utilities</f>
        <v>0</v>
      </c>
      <c r="BI29" s="9">
        <f>'Revenue Forecast'!BI4*Driver_Utilities</f>
        <v>0</v>
      </c>
      <c r="BJ29" s="9">
        <f>'Revenue Forecast'!BJ4*Driver_Utilities</f>
        <v>0</v>
      </c>
    </row>
    <row r="30" spans="1:62">
      <c r="A30" t="s">
        <v>43</v>
      </c>
      <c r="B30" t="s">
        <v>9</v>
      </c>
      <c r="C30" s="9">
        <f>'Historical Data'!C17</f>
        <v>0</v>
      </c>
      <c r="D30" s="9">
        <f>'Historical Data'!D17</f>
        <v>0</v>
      </c>
      <c r="E30" s="9">
        <f>'Historical Data'!E17</f>
        <v>0</v>
      </c>
      <c r="F30" s="9">
        <f>'Historical Data'!F17</f>
        <v>0</v>
      </c>
      <c r="G30" s="9">
        <f>'Historical Data'!G17</f>
        <v>0</v>
      </c>
      <c r="H30" s="9">
        <f>'Historical Data'!H17</f>
        <v>0</v>
      </c>
      <c r="I30" s="9">
        <f>'Historical Data'!I17</f>
        <v>0</v>
      </c>
      <c r="J30" s="9">
        <f>'Historical Data'!J17</f>
        <v>0</v>
      </c>
      <c r="K30" s="9">
        <f>'Historical Data'!K17</f>
        <v>0</v>
      </c>
      <c r="L30" s="9">
        <f>'Historical Data'!L17</f>
        <v>0</v>
      </c>
      <c r="M30" s="9">
        <f>'Historical Data'!M17</f>
        <v>0</v>
      </c>
      <c r="N30" s="9">
        <f>'Historical Data'!N17</f>
        <v>0</v>
      </c>
      <c r="O30" s="9">
        <f>'Historical Data'!O17</f>
        <v>0</v>
      </c>
      <c r="P30" s="9">
        <f>'Historical Data'!P17</f>
        <v>0</v>
      </c>
      <c r="Q30" s="9">
        <f>'Historical Data'!Q17</f>
        <v>0</v>
      </c>
      <c r="R30" s="9">
        <f>'Historical Data'!R17</f>
        <v>0</v>
      </c>
      <c r="S30" s="9">
        <f>'Historical Data'!S17</f>
        <v>0</v>
      </c>
      <c r="T30" s="9">
        <f>'Historical Data'!T17</f>
        <v>0</v>
      </c>
      <c r="U30" s="9">
        <f>'Historical Data'!U17</f>
        <v>0</v>
      </c>
      <c r="V30" s="9">
        <f>'Historical Data'!V17</f>
        <v>0</v>
      </c>
      <c r="W30" s="9">
        <f>'Historical Data'!W17</f>
        <v>0</v>
      </c>
      <c r="X30" s="9">
        <f>'Historical Data'!X17</f>
        <v>0</v>
      </c>
      <c r="Y30" s="9">
        <f>'Historical Data'!Y17</f>
        <v>0</v>
      </c>
      <c r="Z30" s="9">
        <f>'Historical Data'!Z17</f>
        <v>0</v>
      </c>
      <c r="AA30" s="9">
        <f>'Historical Data'!AA17</f>
        <v>0</v>
      </c>
      <c r="AB30" s="9">
        <f>'Historical Data'!AB17</f>
        <v>0</v>
      </c>
      <c r="AC30" s="9">
        <f>'Historical Data'!AC17</f>
        <v>0</v>
      </c>
      <c r="AD30" s="9">
        <f>'Historical Data'!AD17</f>
        <v>0</v>
      </c>
      <c r="AE30" s="9">
        <f>'Historical Data'!AE17</f>
        <v>0</v>
      </c>
      <c r="AF30" s="9">
        <f>'Historical Data'!AF17</f>
        <v>0</v>
      </c>
      <c r="AG30" s="9">
        <f>'Historical Data'!AG17</f>
        <v>0</v>
      </c>
      <c r="AH30" s="9">
        <f>'Historical Data'!AH17</f>
        <v>0</v>
      </c>
      <c r="AI30" s="9">
        <f>'Historical Data'!AI17</f>
        <v>0</v>
      </c>
      <c r="AJ30" s="9">
        <f>'Historical Data'!AJ17</f>
        <v>0</v>
      </c>
      <c r="AK30" s="9">
        <f>'Historical Data'!AK17</f>
        <v>0</v>
      </c>
      <c r="AL30" s="9">
        <f>'Historical Data'!AL17</f>
        <v>0</v>
      </c>
      <c r="AM30" s="9">
        <f>'Revenue Forecast'!AM5*Driver_Utilities</f>
        <v>0</v>
      </c>
      <c r="AN30" s="9">
        <f>'Revenue Forecast'!AN5*Driver_Utilities</f>
        <v>0</v>
      </c>
      <c r="AO30" s="9">
        <f>'Revenue Forecast'!AO5*Driver_Utilities</f>
        <v>0</v>
      </c>
      <c r="AP30" s="9">
        <f>'Revenue Forecast'!AP5*Driver_Utilities</f>
        <v>0</v>
      </c>
      <c r="AQ30" s="9">
        <f>'Revenue Forecast'!AQ5*Driver_Utilities</f>
        <v>0</v>
      </c>
      <c r="AR30" s="9">
        <f>'Revenue Forecast'!AR5*Driver_Utilities</f>
        <v>0</v>
      </c>
      <c r="AS30" s="9">
        <f>'Revenue Forecast'!AS5*Driver_Utilities</f>
        <v>0</v>
      </c>
      <c r="AT30" s="9">
        <f>'Revenue Forecast'!AT5*Driver_Utilities</f>
        <v>0</v>
      </c>
      <c r="AU30" s="9">
        <f>'Revenue Forecast'!AU5*Driver_Utilities</f>
        <v>0</v>
      </c>
      <c r="AV30" s="9">
        <f>'Revenue Forecast'!AV5*Driver_Utilities</f>
        <v>0</v>
      </c>
      <c r="AW30" s="9">
        <f>'Revenue Forecast'!AW5*Driver_Utilities</f>
        <v>0</v>
      </c>
      <c r="AX30" s="9">
        <f>'Revenue Forecast'!AX5*Driver_Utilities</f>
        <v>0</v>
      </c>
      <c r="AY30" s="9">
        <f>'Revenue Forecast'!AY5*Driver_Utilities</f>
        <v>0</v>
      </c>
      <c r="AZ30" s="9">
        <f>'Revenue Forecast'!AZ5*Driver_Utilities</f>
        <v>0</v>
      </c>
      <c r="BA30" s="9">
        <f>'Revenue Forecast'!BA5*Driver_Utilities</f>
        <v>0</v>
      </c>
      <c r="BB30" s="9">
        <f>'Revenue Forecast'!BB5*Driver_Utilities</f>
        <v>0</v>
      </c>
      <c r="BC30" s="9">
        <f>'Revenue Forecast'!BC5*Driver_Utilities</f>
        <v>0</v>
      </c>
      <c r="BD30" s="9">
        <f>'Revenue Forecast'!BD5*Driver_Utilities</f>
        <v>0</v>
      </c>
      <c r="BE30" s="9">
        <f>'Revenue Forecast'!BE5*Driver_Utilities</f>
        <v>0</v>
      </c>
      <c r="BF30" s="9">
        <f>'Revenue Forecast'!BF5*Driver_Utilities</f>
        <v>0</v>
      </c>
      <c r="BG30" s="9">
        <f>'Revenue Forecast'!BG5*Driver_Utilities</f>
        <v>0</v>
      </c>
      <c r="BH30" s="9">
        <f>'Revenue Forecast'!BH5*Driver_Utilities</f>
        <v>0</v>
      </c>
      <c r="BI30" s="9">
        <f>'Revenue Forecast'!BI5*Driver_Utilities</f>
        <v>0</v>
      </c>
      <c r="BJ30" s="9">
        <f>'Revenue Forecast'!BJ5*Driver_Utilities</f>
        <v>0</v>
      </c>
    </row>
    <row r="31" spans="1:62">
      <c r="A31" t="s">
        <v>43</v>
      </c>
      <c r="B31" t="s">
        <v>10</v>
      </c>
      <c r="C31" s="9">
        <f>'Historical Data'!C25</f>
        <v>0</v>
      </c>
      <c r="D31" s="9">
        <f>'Historical Data'!D25</f>
        <v>0</v>
      </c>
      <c r="E31" s="9">
        <f>'Historical Data'!E25</f>
        <v>0</v>
      </c>
      <c r="F31" s="9">
        <f>'Historical Data'!F25</f>
        <v>0</v>
      </c>
      <c r="G31" s="9">
        <f>'Historical Data'!G25</f>
        <v>0</v>
      </c>
      <c r="H31" s="9">
        <f>'Historical Data'!H25</f>
        <v>0</v>
      </c>
      <c r="I31" s="9">
        <f>'Historical Data'!I25</f>
        <v>0</v>
      </c>
      <c r="J31" s="9">
        <f>'Historical Data'!J25</f>
        <v>0</v>
      </c>
      <c r="K31" s="9">
        <f>'Historical Data'!K25</f>
        <v>0</v>
      </c>
      <c r="L31" s="9">
        <f>'Historical Data'!L25</f>
        <v>0</v>
      </c>
      <c r="M31" s="9">
        <f>'Historical Data'!M25</f>
        <v>0</v>
      </c>
      <c r="N31" s="9">
        <f>'Historical Data'!N25</f>
        <v>0</v>
      </c>
      <c r="O31" s="9">
        <f>'Historical Data'!O25</f>
        <v>0</v>
      </c>
      <c r="P31" s="9">
        <f>'Historical Data'!P25</f>
        <v>0</v>
      </c>
      <c r="Q31" s="9">
        <f>'Historical Data'!Q25</f>
        <v>0</v>
      </c>
      <c r="R31" s="9">
        <f>'Historical Data'!R25</f>
        <v>0</v>
      </c>
      <c r="S31" s="9">
        <f>'Historical Data'!S25</f>
        <v>0</v>
      </c>
      <c r="T31" s="9">
        <f>'Historical Data'!T25</f>
        <v>0</v>
      </c>
      <c r="U31" s="9">
        <f>'Historical Data'!U25</f>
        <v>0</v>
      </c>
      <c r="V31" s="9">
        <f>'Historical Data'!V25</f>
        <v>0</v>
      </c>
      <c r="W31" s="9">
        <f>'Historical Data'!W25</f>
        <v>0</v>
      </c>
      <c r="X31" s="9">
        <f>'Historical Data'!X25</f>
        <v>0</v>
      </c>
      <c r="Y31" s="9">
        <f>'Historical Data'!Y25</f>
        <v>0</v>
      </c>
      <c r="Z31" s="9">
        <f>'Historical Data'!Z25</f>
        <v>0</v>
      </c>
      <c r="AA31" s="9">
        <f>'Historical Data'!AA25</f>
        <v>0</v>
      </c>
      <c r="AB31" s="9">
        <f>'Historical Data'!AB25</f>
        <v>0</v>
      </c>
      <c r="AC31" s="9">
        <f>'Historical Data'!AC25</f>
        <v>0</v>
      </c>
      <c r="AD31" s="9">
        <f>'Historical Data'!AD25</f>
        <v>0</v>
      </c>
      <c r="AE31" s="9">
        <f>'Historical Data'!AE25</f>
        <v>0</v>
      </c>
      <c r="AF31" s="9">
        <f>'Historical Data'!AF25</f>
        <v>0</v>
      </c>
      <c r="AG31" s="9">
        <f>'Historical Data'!AG25</f>
        <v>0</v>
      </c>
      <c r="AH31" s="9">
        <f>'Historical Data'!AH25</f>
        <v>0</v>
      </c>
      <c r="AI31" s="9">
        <f>'Historical Data'!AI25</f>
        <v>0</v>
      </c>
      <c r="AJ31" s="9">
        <f>'Historical Data'!AJ25</f>
        <v>0</v>
      </c>
      <c r="AK31" s="9">
        <f>'Historical Data'!AK25</f>
        <v>0</v>
      </c>
      <c r="AL31" s="9">
        <f>'Historical Data'!AL25</f>
        <v>0</v>
      </c>
      <c r="AM31" s="9">
        <f>'Revenue Forecast'!AM6*Driver_Utilities</f>
        <v>0</v>
      </c>
      <c r="AN31" s="9">
        <f>'Revenue Forecast'!AN6*Driver_Utilities</f>
        <v>0</v>
      </c>
      <c r="AO31" s="9">
        <f>'Revenue Forecast'!AO6*Driver_Utilities</f>
        <v>0</v>
      </c>
      <c r="AP31" s="9">
        <f>'Revenue Forecast'!AP6*Driver_Utilities</f>
        <v>0</v>
      </c>
      <c r="AQ31" s="9">
        <f>'Revenue Forecast'!AQ6*Driver_Utilities</f>
        <v>0</v>
      </c>
      <c r="AR31" s="9">
        <f>'Revenue Forecast'!AR6*Driver_Utilities</f>
        <v>0</v>
      </c>
      <c r="AS31" s="9">
        <f>'Revenue Forecast'!AS6*Driver_Utilities</f>
        <v>0</v>
      </c>
      <c r="AT31" s="9">
        <f>'Revenue Forecast'!AT6*Driver_Utilities</f>
        <v>0</v>
      </c>
      <c r="AU31" s="9">
        <f>'Revenue Forecast'!AU6*Driver_Utilities</f>
        <v>0</v>
      </c>
      <c r="AV31" s="9">
        <f>'Revenue Forecast'!AV6*Driver_Utilities</f>
        <v>0</v>
      </c>
      <c r="AW31" s="9">
        <f>'Revenue Forecast'!AW6*Driver_Utilities</f>
        <v>0</v>
      </c>
      <c r="AX31" s="9">
        <f>'Revenue Forecast'!AX6*Driver_Utilities</f>
        <v>0</v>
      </c>
      <c r="AY31" s="9">
        <f>'Revenue Forecast'!AY6*Driver_Utilities</f>
        <v>0</v>
      </c>
      <c r="AZ31" s="9">
        <f>'Revenue Forecast'!AZ6*Driver_Utilities</f>
        <v>0</v>
      </c>
      <c r="BA31" s="9">
        <f>'Revenue Forecast'!BA6*Driver_Utilities</f>
        <v>0</v>
      </c>
      <c r="BB31" s="9">
        <f>'Revenue Forecast'!BB6*Driver_Utilities</f>
        <v>0</v>
      </c>
      <c r="BC31" s="9">
        <f>'Revenue Forecast'!BC6*Driver_Utilities</f>
        <v>0</v>
      </c>
      <c r="BD31" s="9">
        <f>'Revenue Forecast'!BD6*Driver_Utilities</f>
        <v>0</v>
      </c>
      <c r="BE31" s="9">
        <f>'Revenue Forecast'!BE6*Driver_Utilities</f>
        <v>0</v>
      </c>
      <c r="BF31" s="9">
        <f>'Revenue Forecast'!BF6*Driver_Utilities</f>
        <v>0</v>
      </c>
      <c r="BG31" s="9">
        <f>'Revenue Forecast'!BG6*Driver_Utilities</f>
        <v>0</v>
      </c>
      <c r="BH31" s="9">
        <f>'Revenue Forecast'!BH6*Driver_Utilities</f>
        <v>0</v>
      </c>
      <c r="BI31" s="9">
        <f>'Revenue Forecast'!BI6*Driver_Utilities</f>
        <v>0</v>
      </c>
      <c r="BJ31" s="9">
        <f>'Revenue Forecast'!BJ6*Driver_Utilities</f>
        <v>0</v>
      </c>
    </row>
    <row r="32" spans="1:62">
      <c r="A32" t="s">
        <v>43</v>
      </c>
      <c r="B32" t="s">
        <v>11</v>
      </c>
      <c r="C32" s="9">
        <f>'Historical Data'!C33</f>
        <v>0</v>
      </c>
      <c r="D32" s="9">
        <f>'Historical Data'!D33</f>
        <v>0</v>
      </c>
      <c r="E32" s="9">
        <f>'Historical Data'!E33</f>
        <v>0</v>
      </c>
      <c r="F32" s="9">
        <f>'Historical Data'!F33</f>
        <v>0</v>
      </c>
      <c r="G32" s="9">
        <f>'Historical Data'!G33</f>
        <v>0</v>
      </c>
      <c r="H32" s="9">
        <f>'Historical Data'!H33</f>
        <v>0</v>
      </c>
      <c r="I32" s="9">
        <f>'Historical Data'!I33</f>
        <v>0</v>
      </c>
      <c r="J32" s="9">
        <f>'Historical Data'!J33</f>
        <v>0</v>
      </c>
      <c r="K32" s="9">
        <f>'Historical Data'!K33</f>
        <v>0</v>
      </c>
      <c r="L32" s="9">
        <f>'Historical Data'!L33</f>
        <v>0</v>
      </c>
      <c r="M32" s="9">
        <f>'Historical Data'!M33</f>
        <v>0</v>
      </c>
      <c r="N32" s="9">
        <f>'Historical Data'!N33</f>
        <v>0</v>
      </c>
      <c r="O32" s="9">
        <f>'Historical Data'!O33</f>
        <v>0</v>
      </c>
      <c r="P32" s="9">
        <f>'Historical Data'!P33</f>
        <v>0</v>
      </c>
      <c r="Q32" s="9">
        <f>'Historical Data'!Q33</f>
        <v>0</v>
      </c>
      <c r="R32" s="9">
        <f>'Historical Data'!R33</f>
        <v>0</v>
      </c>
      <c r="S32" s="9">
        <f>'Historical Data'!S33</f>
        <v>0</v>
      </c>
      <c r="T32" s="9">
        <f>'Historical Data'!T33</f>
        <v>0</v>
      </c>
      <c r="U32" s="9">
        <f>'Historical Data'!U33</f>
        <v>0</v>
      </c>
      <c r="V32" s="9">
        <f>'Historical Data'!V33</f>
        <v>0</v>
      </c>
      <c r="W32" s="9">
        <f>'Historical Data'!W33</f>
        <v>0</v>
      </c>
      <c r="X32" s="9">
        <f>'Historical Data'!X33</f>
        <v>0</v>
      </c>
      <c r="Y32" s="9">
        <f>'Historical Data'!Y33</f>
        <v>0</v>
      </c>
      <c r="Z32" s="9">
        <f>'Historical Data'!Z33</f>
        <v>0</v>
      </c>
      <c r="AA32" s="9">
        <f>'Historical Data'!AA33</f>
        <v>0</v>
      </c>
      <c r="AB32" s="9">
        <f>'Historical Data'!AB33</f>
        <v>0</v>
      </c>
      <c r="AC32" s="9">
        <f>'Historical Data'!AC33</f>
        <v>0</v>
      </c>
      <c r="AD32" s="9">
        <f>'Historical Data'!AD33</f>
        <v>0</v>
      </c>
      <c r="AE32" s="9">
        <f>'Historical Data'!AE33</f>
        <v>0</v>
      </c>
      <c r="AF32" s="9">
        <f>'Historical Data'!AF33</f>
        <v>0</v>
      </c>
      <c r="AG32" s="9">
        <f>'Historical Data'!AG33</f>
        <v>0</v>
      </c>
      <c r="AH32" s="9">
        <f>'Historical Data'!AH33</f>
        <v>0</v>
      </c>
      <c r="AI32" s="9">
        <f>'Historical Data'!AI33</f>
        <v>0</v>
      </c>
      <c r="AJ32" s="9">
        <f>'Historical Data'!AJ33</f>
        <v>0</v>
      </c>
      <c r="AK32" s="9">
        <f>'Historical Data'!AK33</f>
        <v>0</v>
      </c>
      <c r="AL32" s="9">
        <f>'Historical Data'!AL33</f>
        <v>0</v>
      </c>
      <c r="AM32" s="9">
        <f>'Revenue Forecast'!AM7*Driver_Utilities</f>
        <v>0</v>
      </c>
      <c r="AN32" s="9">
        <f>'Revenue Forecast'!AN7*Driver_Utilities</f>
        <v>0</v>
      </c>
      <c r="AO32" s="9">
        <f>'Revenue Forecast'!AO7*Driver_Utilities</f>
        <v>0</v>
      </c>
      <c r="AP32" s="9">
        <f>'Revenue Forecast'!AP7*Driver_Utilities</f>
        <v>0</v>
      </c>
      <c r="AQ32" s="9">
        <f>'Revenue Forecast'!AQ7*Driver_Utilities</f>
        <v>0</v>
      </c>
      <c r="AR32" s="9">
        <f>'Revenue Forecast'!AR7*Driver_Utilities</f>
        <v>0</v>
      </c>
      <c r="AS32" s="9">
        <f>'Revenue Forecast'!AS7*Driver_Utilities</f>
        <v>0</v>
      </c>
      <c r="AT32" s="9">
        <f>'Revenue Forecast'!AT7*Driver_Utilities</f>
        <v>0</v>
      </c>
      <c r="AU32" s="9">
        <f>'Revenue Forecast'!AU7*Driver_Utilities</f>
        <v>0</v>
      </c>
      <c r="AV32" s="9">
        <f>'Revenue Forecast'!AV7*Driver_Utilities</f>
        <v>0</v>
      </c>
      <c r="AW32" s="9">
        <f>'Revenue Forecast'!AW7*Driver_Utilities</f>
        <v>0</v>
      </c>
      <c r="AX32" s="9">
        <f>'Revenue Forecast'!AX7*Driver_Utilities</f>
        <v>0</v>
      </c>
      <c r="AY32" s="9">
        <f>'Revenue Forecast'!AY7*Driver_Utilities</f>
        <v>0</v>
      </c>
      <c r="AZ32" s="9">
        <f>'Revenue Forecast'!AZ7*Driver_Utilities</f>
        <v>0</v>
      </c>
      <c r="BA32" s="9">
        <f>'Revenue Forecast'!BA7*Driver_Utilities</f>
        <v>0</v>
      </c>
      <c r="BB32" s="9">
        <f>'Revenue Forecast'!BB7*Driver_Utilities</f>
        <v>0</v>
      </c>
      <c r="BC32" s="9">
        <f>'Revenue Forecast'!BC7*Driver_Utilities</f>
        <v>0</v>
      </c>
      <c r="BD32" s="9">
        <f>'Revenue Forecast'!BD7*Driver_Utilities</f>
        <v>0</v>
      </c>
      <c r="BE32" s="9">
        <f>'Revenue Forecast'!BE7*Driver_Utilities</f>
        <v>0</v>
      </c>
      <c r="BF32" s="9">
        <f>'Revenue Forecast'!BF7*Driver_Utilities</f>
        <v>0</v>
      </c>
      <c r="BG32" s="9">
        <f>'Revenue Forecast'!BG7*Driver_Utilities</f>
        <v>0</v>
      </c>
      <c r="BH32" s="9">
        <f>'Revenue Forecast'!BH7*Driver_Utilities</f>
        <v>0</v>
      </c>
      <c r="BI32" s="9">
        <f>'Revenue Forecast'!BI7*Driver_Utilities</f>
        <v>0</v>
      </c>
      <c r="BJ32" s="9">
        <f>'Revenue Forecast'!BJ7*Driver_Utilities</f>
        <v>0</v>
      </c>
    </row>
    <row r="33" spans="1:62">
      <c r="A33" t="s">
        <v>43</v>
      </c>
      <c r="B33" t="s">
        <v>12</v>
      </c>
      <c r="C33" s="9">
        <f>'Historical Data'!C41</f>
        <v>0</v>
      </c>
      <c r="D33" s="9">
        <f>'Historical Data'!D41</f>
        <v>0</v>
      </c>
      <c r="E33" s="9">
        <f>'Historical Data'!E41</f>
        <v>0</v>
      </c>
      <c r="F33" s="9">
        <f>'Historical Data'!F41</f>
        <v>0</v>
      </c>
      <c r="G33" s="9">
        <f>'Historical Data'!G41</f>
        <v>0</v>
      </c>
      <c r="H33" s="9">
        <f>'Historical Data'!H41</f>
        <v>0</v>
      </c>
      <c r="I33" s="9">
        <f>'Historical Data'!I41</f>
        <v>0</v>
      </c>
      <c r="J33" s="9">
        <f>'Historical Data'!J41</f>
        <v>0</v>
      </c>
      <c r="K33" s="9">
        <f>'Historical Data'!K41</f>
        <v>0</v>
      </c>
      <c r="L33" s="9">
        <f>'Historical Data'!L41</f>
        <v>0</v>
      </c>
      <c r="M33" s="9">
        <f>'Historical Data'!M41</f>
        <v>0</v>
      </c>
      <c r="N33" s="9">
        <f>'Historical Data'!N41</f>
        <v>0</v>
      </c>
      <c r="O33" s="9">
        <f>'Historical Data'!O41</f>
        <v>0</v>
      </c>
      <c r="P33" s="9">
        <f>'Historical Data'!P41</f>
        <v>0</v>
      </c>
      <c r="Q33" s="9">
        <f>'Historical Data'!Q41</f>
        <v>0</v>
      </c>
      <c r="R33" s="9">
        <f>'Historical Data'!R41</f>
        <v>0</v>
      </c>
      <c r="S33" s="9">
        <f>'Historical Data'!S41</f>
        <v>0</v>
      </c>
      <c r="T33" s="9">
        <f>'Historical Data'!T41</f>
        <v>0</v>
      </c>
      <c r="U33" s="9">
        <f>'Historical Data'!U41</f>
        <v>0</v>
      </c>
      <c r="V33" s="9">
        <f>'Historical Data'!V41</f>
        <v>0</v>
      </c>
      <c r="W33" s="9">
        <f>'Historical Data'!W41</f>
        <v>0</v>
      </c>
      <c r="X33" s="9">
        <f>'Historical Data'!X41</f>
        <v>0</v>
      </c>
      <c r="Y33" s="9">
        <f>'Historical Data'!Y41</f>
        <v>0</v>
      </c>
      <c r="Z33" s="9">
        <f>'Historical Data'!Z41</f>
        <v>0</v>
      </c>
      <c r="AA33" s="9">
        <f>'Historical Data'!AA41</f>
        <v>0</v>
      </c>
      <c r="AB33" s="9">
        <f>'Historical Data'!AB41</f>
        <v>0</v>
      </c>
      <c r="AC33" s="9">
        <f>'Historical Data'!AC41</f>
        <v>0</v>
      </c>
      <c r="AD33" s="9">
        <f>'Historical Data'!AD41</f>
        <v>0</v>
      </c>
      <c r="AE33" s="9">
        <f>'Historical Data'!AE41</f>
        <v>0</v>
      </c>
      <c r="AF33" s="9">
        <f>'Historical Data'!AF41</f>
        <v>0</v>
      </c>
      <c r="AG33" s="9">
        <f>'Historical Data'!AG41</f>
        <v>0</v>
      </c>
      <c r="AH33" s="9">
        <f>'Historical Data'!AH41</f>
        <v>0</v>
      </c>
      <c r="AI33" s="9">
        <f>'Historical Data'!AI41</f>
        <v>0</v>
      </c>
      <c r="AJ33" s="9">
        <f>'Historical Data'!AJ41</f>
        <v>0</v>
      </c>
      <c r="AK33" s="9">
        <f>'Historical Data'!AK41</f>
        <v>0</v>
      </c>
      <c r="AL33" s="9">
        <f>'Historical Data'!AL41</f>
        <v>0</v>
      </c>
      <c r="AM33" s="9">
        <f>'Revenue Forecast'!AM8*Driver_Utilities</f>
        <v>0</v>
      </c>
      <c r="AN33" s="9">
        <f>'Revenue Forecast'!AN8*Driver_Utilities</f>
        <v>0</v>
      </c>
      <c r="AO33" s="9">
        <f>'Revenue Forecast'!AO8*Driver_Utilities</f>
        <v>0</v>
      </c>
      <c r="AP33" s="9">
        <f>'Revenue Forecast'!AP8*Driver_Utilities</f>
        <v>0</v>
      </c>
      <c r="AQ33" s="9">
        <f>'Revenue Forecast'!AQ8*Driver_Utilities</f>
        <v>0</v>
      </c>
      <c r="AR33" s="9">
        <f>'Revenue Forecast'!AR8*Driver_Utilities</f>
        <v>0</v>
      </c>
      <c r="AS33" s="9">
        <f>'Revenue Forecast'!AS8*Driver_Utilities</f>
        <v>0</v>
      </c>
      <c r="AT33" s="9">
        <f>'Revenue Forecast'!AT8*Driver_Utilities</f>
        <v>0</v>
      </c>
      <c r="AU33" s="9">
        <f>'Revenue Forecast'!AU8*Driver_Utilities</f>
        <v>0</v>
      </c>
      <c r="AV33" s="9">
        <f>'Revenue Forecast'!AV8*Driver_Utilities</f>
        <v>0</v>
      </c>
      <c r="AW33" s="9">
        <f>'Revenue Forecast'!AW8*Driver_Utilities</f>
        <v>0</v>
      </c>
      <c r="AX33" s="9">
        <f>'Revenue Forecast'!AX8*Driver_Utilities</f>
        <v>0</v>
      </c>
      <c r="AY33" s="9">
        <f>'Revenue Forecast'!AY8*Driver_Utilities</f>
        <v>0</v>
      </c>
      <c r="AZ33" s="9">
        <f>'Revenue Forecast'!AZ8*Driver_Utilities</f>
        <v>0</v>
      </c>
      <c r="BA33" s="9">
        <f>'Revenue Forecast'!BA8*Driver_Utilities</f>
        <v>0</v>
      </c>
      <c r="BB33" s="9">
        <f>'Revenue Forecast'!BB8*Driver_Utilities</f>
        <v>0</v>
      </c>
      <c r="BC33" s="9">
        <f>'Revenue Forecast'!BC8*Driver_Utilities</f>
        <v>0</v>
      </c>
      <c r="BD33" s="9">
        <f>'Revenue Forecast'!BD8*Driver_Utilities</f>
        <v>0</v>
      </c>
      <c r="BE33" s="9">
        <f>'Revenue Forecast'!BE8*Driver_Utilities</f>
        <v>0</v>
      </c>
      <c r="BF33" s="9">
        <f>'Revenue Forecast'!BF8*Driver_Utilities</f>
        <v>0</v>
      </c>
      <c r="BG33" s="9">
        <f>'Revenue Forecast'!BG8*Driver_Utilities</f>
        <v>0</v>
      </c>
      <c r="BH33" s="9">
        <f>'Revenue Forecast'!BH8*Driver_Utilities</f>
        <v>0</v>
      </c>
      <c r="BI33" s="9">
        <f>'Revenue Forecast'!BI8*Driver_Utilities</f>
        <v>0</v>
      </c>
      <c r="BJ33" s="9">
        <f>'Revenue Forecast'!BJ8*Driver_Utilities</f>
        <v>0</v>
      </c>
    </row>
    <row r="34" spans="1:62">
      <c r="A34" s="10" t="s">
        <v>56</v>
      </c>
      <c r="C34" s="10">
        <f>SUM(C29:C33)</f>
        <v>0</v>
      </c>
      <c r="D34" s="10">
        <f>SUM(D29:D33)</f>
        <v>0</v>
      </c>
      <c r="E34" s="10">
        <f>SUM(E29:E33)</f>
        <v>0</v>
      </c>
      <c r="F34" s="10">
        <f>SUM(F29:F33)</f>
        <v>0</v>
      </c>
      <c r="G34" s="10">
        <f>SUM(G29:G33)</f>
        <v>0</v>
      </c>
      <c r="H34" s="10">
        <f>SUM(H29:H33)</f>
        <v>0</v>
      </c>
      <c r="I34" s="10">
        <f>SUM(I29:I33)</f>
        <v>0</v>
      </c>
      <c r="J34" s="10">
        <f>SUM(J29:J33)</f>
        <v>0</v>
      </c>
      <c r="K34" s="10">
        <f>SUM(K29:K33)</f>
        <v>0</v>
      </c>
      <c r="L34" s="10">
        <f>SUM(L29:L33)</f>
        <v>0</v>
      </c>
      <c r="M34" s="10">
        <f>SUM(M29:M33)</f>
        <v>0</v>
      </c>
      <c r="N34" s="10">
        <f>SUM(N29:N33)</f>
        <v>0</v>
      </c>
      <c r="O34" s="10">
        <f>SUM(O29:O33)</f>
        <v>0</v>
      </c>
      <c r="P34" s="10">
        <f>SUM(P29:P33)</f>
        <v>0</v>
      </c>
      <c r="Q34" s="10">
        <f>SUM(Q29:Q33)</f>
        <v>0</v>
      </c>
      <c r="R34" s="10">
        <f>SUM(R29:R33)</f>
        <v>0</v>
      </c>
      <c r="S34" s="10">
        <f>SUM(S29:S33)</f>
        <v>0</v>
      </c>
      <c r="T34" s="10">
        <f>SUM(T29:T33)</f>
        <v>0</v>
      </c>
      <c r="U34" s="10">
        <f>SUM(U29:U33)</f>
        <v>0</v>
      </c>
      <c r="V34" s="10">
        <f>SUM(V29:V33)</f>
        <v>0</v>
      </c>
      <c r="W34" s="10">
        <f>SUM(W29:W33)</f>
        <v>0</v>
      </c>
      <c r="X34" s="10">
        <f>SUM(X29:X33)</f>
        <v>0</v>
      </c>
      <c r="Y34" s="10">
        <f>SUM(Y29:Y33)</f>
        <v>0</v>
      </c>
      <c r="Z34" s="10">
        <f>SUM(Z29:Z33)</f>
        <v>0</v>
      </c>
      <c r="AA34" s="10">
        <f>SUM(AA29:AA33)</f>
        <v>0</v>
      </c>
      <c r="AB34" s="10">
        <f>SUM(AB29:AB33)</f>
        <v>0</v>
      </c>
      <c r="AC34" s="10">
        <f>SUM(AC29:AC33)</f>
        <v>0</v>
      </c>
      <c r="AD34" s="10">
        <f>SUM(AD29:AD33)</f>
        <v>0</v>
      </c>
      <c r="AE34" s="10">
        <f>SUM(AE29:AE33)</f>
        <v>0</v>
      </c>
      <c r="AF34" s="10">
        <f>SUM(AF29:AF33)</f>
        <v>0</v>
      </c>
      <c r="AG34" s="10">
        <f>SUM(AG29:AG33)</f>
        <v>0</v>
      </c>
      <c r="AH34" s="10">
        <f>SUM(AH29:AH33)</f>
        <v>0</v>
      </c>
      <c r="AI34" s="10">
        <f>SUM(AI29:AI33)</f>
        <v>0</v>
      </c>
      <c r="AJ34" s="10">
        <f>SUM(AJ29:AJ33)</f>
        <v>0</v>
      </c>
      <c r="AK34" s="10">
        <f>SUM(AK29:AK33)</f>
        <v>0</v>
      </c>
      <c r="AL34" s="10">
        <f>SUM(AL29:AL33)</f>
        <v>0</v>
      </c>
      <c r="AM34" s="10">
        <f>SUM(AM29:AM33)</f>
        <v>0</v>
      </c>
      <c r="AN34" s="10">
        <f>SUM(AN29:AN33)</f>
        <v>0</v>
      </c>
      <c r="AO34" s="10">
        <f>SUM(AO29:AO33)</f>
        <v>0</v>
      </c>
      <c r="AP34" s="10">
        <f>SUM(AP29:AP33)</f>
        <v>0</v>
      </c>
      <c r="AQ34" s="10">
        <f>SUM(AQ29:AQ33)</f>
        <v>0</v>
      </c>
      <c r="AR34" s="10">
        <f>SUM(AR29:AR33)</f>
        <v>0</v>
      </c>
      <c r="AS34" s="10">
        <f>SUM(AS29:AS33)</f>
        <v>0</v>
      </c>
      <c r="AT34" s="10">
        <f>SUM(AT29:AT33)</f>
        <v>0</v>
      </c>
      <c r="AU34" s="10">
        <f>SUM(AU29:AU33)</f>
        <v>0</v>
      </c>
      <c r="AV34" s="10">
        <f>SUM(AV29:AV33)</f>
        <v>0</v>
      </c>
      <c r="AW34" s="10">
        <f>SUM(AW29:AW33)</f>
        <v>0</v>
      </c>
      <c r="AX34" s="10">
        <f>SUM(AX29:AX33)</f>
        <v>0</v>
      </c>
      <c r="AY34" s="10">
        <f>SUM(AY29:AY33)</f>
        <v>0</v>
      </c>
      <c r="AZ34" s="10">
        <f>SUM(AZ29:AZ33)</f>
        <v>0</v>
      </c>
      <c r="BA34" s="10">
        <f>SUM(BA29:BA33)</f>
        <v>0</v>
      </c>
      <c r="BB34" s="10">
        <f>SUM(BB29:BB33)</f>
        <v>0</v>
      </c>
      <c r="BC34" s="10">
        <f>SUM(BC29:BC33)</f>
        <v>0</v>
      </c>
      <c r="BD34" s="10">
        <f>SUM(BD29:BD33)</f>
        <v>0</v>
      </c>
      <c r="BE34" s="10">
        <f>SUM(BE29:BE33)</f>
        <v>0</v>
      </c>
      <c r="BF34" s="10">
        <f>SUM(BF29:BF33)</f>
        <v>0</v>
      </c>
      <c r="BG34" s="10">
        <f>SUM(BG29:BG33)</f>
        <v>0</v>
      </c>
      <c r="BH34" s="10">
        <f>SUM(BH29:BH33)</f>
        <v>0</v>
      </c>
      <c r="BI34" s="10">
        <f>SUM(BI29:BI33)</f>
        <v>0</v>
      </c>
      <c r="BJ34" s="10">
        <f>SUM(BJ29:BJ33)</f>
        <v>0</v>
      </c>
    </row>
    <row r="36" spans="1:62">
      <c r="A36" s="2" t="s">
        <v>44</v>
      </c>
    </row>
    <row r="37" spans="1:62">
      <c r="A37" t="s">
        <v>44</v>
      </c>
      <c r="B37" t="s">
        <v>8</v>
      </c>
      <c r="C37" s="9">
        <f>'Historical Data'!C10</f>
        <v>0</v>
      </c>
      <c r="D37" s="9">
        <f>'Historical Data'!D10</f>
        <v>0</v>
      </c>
      <c r="E37" s="9">
        <f>'Historical Data'!E10</f>
        <v>0</v>
      </c>
      <c r="F37" s="9">
        <f>'Historical Data'!F10</f>
        <v>0</v>
      </c>
      <c r="G37" s="9">
        <f>'Historical Data'!G10</f>
        <v>0</v>
      </c>
      <c r="H37" s="9">
        <f>'Historical Data'!H10</f>
        <v>0</v>
      </c>
      <c r="I37" s="9">
        <f>'Historical Data'!I10</f>
        <v>0</v>
      </c>
      <c r="J37" s="9">
        <f>'Historical Data'!J10</f>
        <v>0</v>
      </c>
      <c r="K37" s="9">
        <f>'Historical Data'!K10</f>
        <v>0</v>
      </c>
      <c r="L37" s="9">
        <f>'Historical Data'!L10</f>
        <v>0</v>
      </c>
      <c r="M37" s="9">
        <f>'Historical Data'!M10</f>
        <v>0</v>
      </c>
      <c r="N37" s="9">
        <f>'Historical Data'!N10</f>
        <v>0</v>
      </c>
      <c r="O37" s="9">
        <f>'Historical Data'!O10</f>
        <v>0</v>
      </c>
      <c r="P37" s="9">
        <f>'Historical Data'!P10</f>
        <v>0</v>
      </c>
      <c r="Q37" s="9">
        <f>'Historical Data'!Q10</f>
        <v>0</v>
      </c>
      <c r="R37" s="9">
        <f>'Historical Data'!R10</f>
        <v>0</v>
      </c>
      <c r="S37" s="9">
        <f>'Historical Data'!S10</f>
        <v>0</v>
      </c>
      <c r="T37" s="9">
        <f>'Historical Data'!T10</f>
        <v>0</v>
      </c>
      <c r="U37" s="9">
        <f>'Historical Data'!U10</f>
        <v>0</v>
      </c>
      <c r="V37" s="9">
        <f>'Historical Data'!V10</f>
        <v>0</v>
      </c>
      <c r="W37" s="9">
        <f>'Historical Data'!W10</f>
        <v>0</v>
      </c>
      <c r="X37" s="9">
        <f>'Historical Data'!X10</f>
        <v>0</v>
      </c>
      <c r="Y37" s="9">
        <f>'Historical Data'!Y10</f>
        <v>0</v>
      </c>
      <c r="Z37" s="9">
        <f>'Historical Data'!Z10</f>
        <v>0</v>
      </c>
      <c r="AA37" s="9">
        <f>'Historical Data'!AA10</f>
        <v>0</v>
      </c>
      <c r="AB37" s="9">
        <f>'Historical Data'!AB10</f>
        <v>0</v>
      </c>
      <c r="AC37" s="9">
        <f>'Historical Data'!AC10</f>
        <v>0</v>
      </c>
      <c r="AD37" s="9">
        <f>'Historical Data'!AD10</f>
        <v>0</v>
      </c>
      <c r="AE37" s="9">
        <f>'Historical Data'!AE10</f>
        <v>0</v>
      </c>
      <c r="AF37" s="9">
        <f>'Historical Data'!AF10</f>
        <v>0</v>
      </c>
      <c r="AG37" s="9">
        <f>'Historical Data'!AG10</f>
        <v>0</v>
      </c>
      <c r="AH37" s="9">
        <f>'Historical Data'!AH10</f>
        <v>0</v>
      </c>
      <c r="AI37" s="9">
        <f>'Historical Data'!AI10</f>
        <v>0</v>
      </c>
      <c r="AJ37" s="9">
        <f>'Historical Data'!AJ10</f>
        <v>0</v>
      </c>
      <c r="AK37" s="9">
        <f>'Historical Data'!AK10</f>
        <v>0</v>
      </c>
      <c r="AL37" s="9">
        <f>'Historical Data'!AL10</f>
        <v>0</v>
      </c>
      <c r="AM37" s="9">
        <f>AL37</f>
        <v>0</v>
      </c>
      <c r="AN37" s="9">
        <f>AM37</f>
        <v>0</v>
      </c>
      <c r="AO37" s="9">
        <f>AN37</f>
        <v>0</v>
      </c>
      <c r="AP37" s="9">
        <f>AO37</f>
        <v>0</v>
      </c>
      <c r="AQ37" s="9">
        <f>AP37</f>
        <v>0</v>
      </c>
      <c r="AR37" s="9">
        <f>AQ37</f>
        <v>0</v>
      </c>
      <c r="AS37" s="9">
        <f>AR37</f>
        <v>0</v>
      </c>
      <c r="AT37" s="9">
        <f>AS37</f>
        <v>0</v>
      </c>
      <c r="AU37" s="9">
        <f>AT37</f>
        <v>0</v>
      </c>
      <c r="AV37" s="9">
        <f>AU37</f>
        <v>0</v>
      </c>
      <c r="AW37" s="9">
        <f>AV37</f>
        <v>0</v>
      </c>
      <c r="AX37" s="9">
        <f>AW37</f>
        <v>0</v>
      </c>
      <c r="AY37" s="9">
        <f>AX37</f>
        <v>0</v>
      </c>
      <c r="AZ37" s="9">
        <f>AY37</f>
        <v>0</v>
      </c>
      <c r="BA37" s="9">
        <f>AZ37</f>
        <v>0</v>
      </c>
      <c r="BB37" s="9">
        <f>BA37</f>
        <v>0</v>
      </c>
      <c r="BC37" s="9">
        <f>BB37</f>
        <v>0</v>
      </c>
      <c r="BD37" s="9">
        <f>BC37</f>
        <v>0</v>
      </c>
      <c r="BE37" s="9">
        <f>BD37</f>
        <v>0</v>
      </c>
      <c r="BF37" s="9">
        <f>BE37</f>
        <v>0</v>
      </c>
      <c r="BG37" s="9">
        <f>BF37</f>
        <v>0</v>
      </c>
      <c r="BH37" s="9">
        <f>BG37</f>
        <v>0</v>
      </c>
      <c r="BI37" s="9">
        <f>BH37</f>
        <v>0</v>
      </c>
      <c r="BJ37" s="9">
        <f>BI37</f>
        <v>0</v>
      </c>
    </row>
    <row r="38" spans="1:62">
      <c r="A38" t="s">
        <v>44</v>
      </c>
      <c r="B38" t="s">
        <v>9</v>
      </c>
      <c r="C38" s="9">
        <f>'Historical Data'!C18</f>
        <v>0</v>
      </c>
      <c r="D38" s="9">
        <f>'Historical Data'!D18</f>
        <v>0</v>
      </c>
      <c r="E38" s="9">
        <f>'Historical Data'!E18</f>
        <v>0</v>
      </c>
      <c r="F38" s="9">
        <f>'Historical Data'!F18</f>
        <v>0</v>
      </c>
      <c r="G38" s="9">
        <f>'Historical Data'!G18</f>
        <v>0</v>
      </c>
      <c r="H38" s="9">
        <f>'Historical Data'!H18</f>
        <v>0</v>
      </c>
      <c r="I38" s="9">
        <f>'Historical Data'!I18</f>
        <v>0</v>
      </c>
      <c r="J38" s="9">
        <f>'Historical Data'!J18</f>
        <v>0</v>
      </c>
      <c r="K38" s="9">
        <f>'Historical Data'!K18</f>
        <v>0</v>
      </c>
      <c r="L38" s="9">
        <f>'Historical Data'!L18</f>
        <v>0</v>
      </c>
      <c r="M38" s="9">
        <f>'Historical Data'!M18</f>
        <v>0</v>
      </c>
      <c r="N38" s="9">
        <f>'Historical Data'!N18</f>
        <v>0</v>
      </c>
      <c r="O38" s="9">
        <f>'Historical Data'!O18</f>
        <v>0</v>
      </c>
      <c r="P38" s="9">
        <f>'Historical Data'!P18</f>
        <v>0</v>
      </c>
      <c r="Q38" s="9">
        <f>'Historical Data'!Q18</f>
        <v>0</v>
      </c>
      <c r="R38" s="9">
        <f>'Historical Data'!R18</f>
        <v>0</v>
      </c>
      <c r="S38" s="9">
        <f>'Historical Data'!S18</f>
        <v>0</v>
      </c>
      <c r="T38" s="9">
        <f>'Historical Data'!T18</f>
        <v>0</v>
      </c>
      <c r="U38" s="9">
        <f>'Historical Data'!U18</f>
        <v>0</v>
      </c>
      <c r="V38" s="9">
        <f>'Historical Data'!V18</f>
        <v>0</v>
      </c>
      <c r="W38" s="9">
        <f>'Historical Data'!W18</f>
        <v>0</v>
      </c>
      <c r="X38" s="9">
        <f>'Historical Data'!X18</f>
        <v>0</v>
      </c>
      <c r="Y38" s="9">
        <f>'Historical Data'!Y18</f>
        <v>0</v>
      </c>
      <c r="Z38" s="9">
        <f>'Historical Data'!Z18</f>
        <v>0</v>
      </c>
      <c r="AA38" s="9">
        <f>'Historical Data'!AA18</f>
        <v>0</v>
      </c>
      <c r="AB38" s="9">
        <f>'Historical Data'!AB18</f>
        <v>0</v>
      </c>
      <c r="AC38" s="9">
        <f>'Historical Data'!AC18</f>
        <v>0</v>
      </c>
      <c r="AD38" s="9">
        <f>'Historical Data'!AD18</f>
        <v>0</v>
      </c>
      <c r="AE38" s="9">
        <f>'Historical Data'!AE18</f>
        <v>0</v>
      </c>
      <c r="AF38" s="9">
        <f>'Historical Data'!AF18</f>
        <v>0</v>
      </c>
      <c r="AG38" s="9">
        <f>'Historical Data'!AG18</f>
        <v>0</v>
      </c>
      <c r="AH38" s="9">
        <f>'Historical Data'!AH18</f>
        <v>0</v>
      </c>
      <c r="AI38" s="9">
        <f>'Historical Data'!AI18</f>
        <v>0</v>
      </c>
      <c r="AJ38" s="9">
        <f>'Historical Data'!AJ18</f>
        <v>0</v>
      </c>
      <c r="AK38" s="9">
        <f>'Historical Data'!AK18</f>
        <v>0</v>
      </c>
      <c r="AL38" s="9">
        <f>'Historical Data'!AL18</f>
        <v>0</v>
      </c>
      <c r="AM38" s="9">
        <f>AL38</f>
        <v>0</v>
      </c>
      <c r="AN38" s="9">
        <f>AM38</f>
        <v>0</v>
      </c>
      <c r="AO38" s="9">
        <f>AN38</f>
        <v>0</v>
      </c>
      <c r="AP38" s="9">
        <f>AO38</f>
        <v>0</v>
      </c>
      <c r="AQ38" s="9">
        <f>AP38</f>
        <v>0</v>
      </c>
      <c r="AR38" s="9">
        <f>AQ38</f>
        <v>0</v>
      </c>
      <c r="AS38" s="9">
        <f>AR38</f>
        <v>0</v>
      </c>
      <c r="AT38" s="9">
        <f>AS38</f>
        <v>0</v>
      </c>
      <c r="AU38" s="9">
        <f>AT38</f>
        <v>0</v>
      </c>
      <c r="AV38" s="9">
        <f>AU38</f>
        <v>0</v>
      </c>
      <c r="AW38" s="9">
        <f>AV38</f>
        <v>0</v>
      </c>
      <c r="AX38" s="9">
        <f>AW38</f>
        <v>0</v>
      </c>
      <c r="AY38" s="9">
        <f>AX38</f>
        <v>0</v>
      </c>
      <c r="AZ38" s="9">
        <f>AY38</f>
        <v>0</v>
      </c>
      <c r="BA38" s="9">
        <f>AZ38</f>
        <v>0</v>
      </c>
      <c r="BB38" s="9">
        <f>BA38</f>
        <v>0</v>
      </c>
      <c r="BC38" s="9">
        <f>BB38</f>
        <v>0</v>
      </c>
      <c r="BD38" s="9">
        <f>BC38</f>
        <v>0</v>
      </c>
      <c r="BE38" s="9">
        <f>BD38</f>
        <v>0</v>
      </c>
      <c r="BF38" s="9">
        <f>BE38</f>
        <v>0</v>
      </c>
      <c r="BG38" s="9">
        <f>BF38</f>
        <v>0</v>
      </c>
      <c r="BH38" s="9">
        <f>BG38</f>
        <v>0</v>
      </c>
      <c r="BI38" s="9">
        <f>BH38</f>
        <v>0</v>
      </c>
      <c r="BJ38" s="9">
        <f>BI38</f>
        <v>0</v>
      </c>
    </row>
    <row r="39" spans="1:62">
      <c r="A39" t="s">
        <v>44</v>
      </c>
      <c r="B39" t="s">
        <v>10</v>
      </c>
      <c r="C39" s="9">
        <f>'Historical Data'!C26</f>
        <v>0</v>
      </c>
      <c r="D39" s="9">
        <f>'Historical Data'!D26</f>
        <v>0</v>
      </c>
      <c r="E39" s="9">
        <f>'Historical Data'!E26</f>
        <v>0</v>
      </c>
      <c r="F39" s="9">
        <f>'Historical Data'!F26</f>
        <v>0</v>
      </c>
      <c r="G39" s="9">
        <f>'Historical Data'!G26</f>
        <v>0</v>
      </c>
      <c r="H39" s="9">
        <f>'Historical Data'!H26</f>
        <v>0</v>
      </c>
      <c r="I39" s="9">
        <f>'Historical Data'!I26</f>
        <v>0</v>
      </c>
      <c r="J39" s="9">
        <f>'Historical Data'!J26</f>
        <v>0</v>
      </c>
      <c r="K39" s="9">
        <f>'Historical Data'!K26</f>
        <v>0</v>
      </c>
      <c r="L39" s="9">
        <f>'Historical Data'!L26</f>
        <v>0</v>
      </c>
      <c r="M39" s="9">
        <f>'Historical Data'!M26</f>
        <v>0</v>
      </c>
      <c r="N39" s="9">
        <f>'Historical Data'!N26</f>
        <v>0</v>
      </c>
      <c r="O39" s="9">
        <f>'Historical Data'!O26</f>
        <v>0</v>
      </c>
      <c r="P39" s="9">
        <f>'Historical Data'!P26</f>
        <v>0</v>
      </c>
      <c r="Q39" s="9">
        <f>'Historical Data'!Q26</f>
        <v>0</v>
      </c>
      <c r="R39" s="9">
        <f>'Historical Data'!R26</f>
        <v>0</v>
      </c>
      <c r="S39" s="9">
        <f>'Historical Data'!S26</f>
        <v>0</v>
      </c>
      <c r="T39" s="9">
        <f>'Historical Data'!T26</f>
        <v>0</v>
      </c>
      <c r="U39" s="9">
        <f>'Historical Data'!U26</f>
        <v>0</v>
      </c>
      <c r="V39" s="9">
        <f>'Historical Data'!V26</f>
        <v>0</v>
      </c>
      <c r="W39" s="9">
        <f>'Historical Data'!W26</f>
        <v>0</v>
      </c>
      <c r="X39" s="9">
        <f>'Historical Data'!X26</f>
        <v>0</v>
      </c>
      <c r="Y39" s="9">
        <f>'Historical Data'!Y26</f>
        <v>0</v>
      </c>
      <c r="Z39" s="9">
        <f>'Historical Data'!Z26</f>
        <v>0</v>
      </c>
      <c r="AA39" s="9">
        <f>'Historical Data'!AA26</f>
        <v>0</v>
      </c>
      <c r="AB39" s="9">
        <f>'Historical Data'!AB26</f>
        <v>0</v>
      </c>
      <c r="AC39" s="9">
        <f>'Historical Data'!AC26</f>
        <v>0</v>
      </c>
      <c r="AD39" s="9">
        <f>'Historical Data'!AD26</f>
        <v>0</v>
      </c>
      <c r="AE39" s="9">
        <f>'Historical Data'!AE26</f>
        <v>0</v>
      </c>
      <c r="AF39" s="9">
        <f>'Historical Data'!AF26</f>
        <v>0</v>
      </c>
      <c r="AG39" s="9">
        <f>'Historical Data'!AG26</f>
        <v>0</v>
      </c>
      <c r="AH39" s="9">
        <f>'Historical Data'!AH26</f>
        <v>0</v>
      </c>
      <c r="AI39" s="9">
        <f>'Historical Data'!AI26</f>
        <v>0</v>
      </c>
      <c r="AJ39" s="9">
        <f>'Historical Data'!AJ26</f>
        <v>0</v>
      </c>
      <c r="AK39" s="9">
        <f>'Historical Data'!AK26</f>
        <v>0</v>
      </c>
      <c r="AL39" s="9">
        <f>'Historical Data'!AL26</f>
        <v>0</v>
      </c>
      <c r="AM39" s="9">
        <f>AL39</f>
        <v>0</v>
      </c>
      <c r="AN39" s="9">
        <f>AM39</f>
        <v>0</v>
      </c>
      <c r="AO39" s="9">
        <f>AN39</f>
        <v>0</v>
      </c>
      <c r="AP39" s="9">
        <f>AO39</f>
        <v>0</v>
      </c>
      <c r="AQ39" s="9">
        <f>AP39</f>
        <v>0</v>
      </c>
      <c r="AR39" s="9">
        <f>AQ39</f>
        <v>0</v>
      </c>
      <c r="AS39" s="9">
        <f>AR39</f>
        <v>0</v>
      </c>
      <c r="AT39" s="9">
        <f>AS39</f>
        <v>0</v>
      </c>
      <c r="AU39" s="9">
        <f>AT39</f>
        <v>0</v>
      </c>
      <c r="AV39" s="9">
        <f>AU39</f>
        <v>0</v>
      </c>
      <c r="AW39" s="9">
        <f>AV39</f>
        <v>0</v>
      </c>
      <c r="AX39" s="9">
        <f>AW39</f>
        <v>0</v>
      </c>
      <c r="AY39" s="9">
        <f>AX39</f>
        <v>0</v>
      </c>
      <c r="AZ39" s="9">
        <f>AY39</f>
        <v>0</v>
      </c>
      <c r="BA39" s="9">
        <f>AZ39</f>
        <v>0</v>
      </c>
      <c r="BB39" s="9">
        <f>BA39</f>
        <v>0</v>
      </c>
      <c r="BC39" s="9">
        <f>BB39</f>
        <v>0</v>
      </c>
      <c r="BD39" s="9">
        <f>BC39</f>
        <v>0</v>
      </c>
      <c r="BE39" s="9">
        <f>BD39</f>
        <v>0</v>
      </c>
      <c r="BF39" s="9">
        <f>BE39</f>
        <v>0</v>
      </c>
      <c r="BG39" s="9">
        <f>BF39</f>
        <v>0</v>
      </c>
      <c r="BH39" s="9">
        <f>BG39</f>
        <v>0</v>
      </c>
      <c r="BI39" s="9">
        <f>BH39</f>
        <v>0</v>
      </c>
      <c r="BJ39" s="9">
        <f>BI39</f>
        <v>0</v>
      </c>
    </row>
    <row r="40" spans="1:62">
      <c r="A40" t="s">
        <v>44</v>
      </c>
      <c r="B40" t="s">
        <v>11</v>
      </c>
      <c r="C40" s="9">
        <f>'Historical Data'!C34</f>
        <v>0</v>
      </c>
      <c r="D40" s="9">
        <f>'Historical Data'!D34</f>
        <v>0</v>
      </c>
      <c r="E40" s="9">
        <f>'Historical Data'!E34</f>
        <v>0</v>
      </c>
      <c r="F40" s="9">
        <f>'Historical Data'!F34</f>
        <v>0</v>
      </c>
      <c r="G40" s="9">
        <f>'Historical Data'!G34</f>
        <v>0</v>
      </c>
      <c r="H40" s="9">
        <f>'Historical Data'!H34</f>
        <v>0</v>
      </c>
      <c r="I40" s="9">
        <f>'Historical Data'!I34</f>
        <v>0</v>
      </c>
      <c r="J40" s="9">
        <f>'Historical Data'!J34</f>
        <v>0</v>
      </c>
      <c r="K40" s="9">
        <f>'Historical Data'!K34</f>
        <v>0</v>
      </c>
      <c r="L40" s="9">
        <f>'Historical Data'!L34</f>
        <v>0</v>
      </c>
      <c r="M40" s="9">
        <f>'Historical Data'!M34</f>
        <v>0</v>
      </c>
      <c r="N40" s="9">
        <f>'Historical Data'!N34</f>
        <v>0</v>
      </c>
      <c r="O40" s="9">
        <f>'Historical Data'!O34</f>
        <v>0</v>
      </c>
      <c r="P40" s="9">
        <f>'Historical Data'!P34</f>
        <v>0</v>
      </c>
      <c r="Q40" s="9">
        <f>'Historical Data'!Q34</f>
        <v>0</v>
      </c>
      <c r="R40" s="9">
        <f>'Historical Data'!R34</f>
        <v>0</v>
      </c>
      <c r="S40" s="9">
        <f>'Historical Data'!S34</f>
        <v>0</v>
      </c>
      <c r="T40" s="9">
        <f>'Historical Data'!T34</f>
        <v>0</v>
      </c>
      <c r="U40" s="9">
        <f>'Historical Data'!U34</f>
        <v>0</v>
      </c>
      <c r="V40" s="9">
        <f>'Historical Data'!V34</f>
        <v>0</v>
      </c>
      <c r="W40" s="9">
        <f>'Historical Data'!W34</f>
        <v>0</v>
      </c>
      <c r="X40" s="9">
        <f>'Historical Data'!X34</f>
        <v>0</v>
      </c>
      <c r="Y40" s="9">
        <f>'Historical Data'!Y34</f>
        <v>0</v>
      </c>
      <c r="Z40" s="9">
        <f>'Historical Data'!Z34</f>
        <v>0</v>
      </c>
      <c r="AA40" s="9">
        <f>'Historical Data'!AA34</f>
        <v>0</v>
      </c>
      <c r="AB40" s="9">
        <f>'Historical Data'!AB34</f>
        <v>0</v>
      </c>
      <c r="AC40" s="9">
        <f>'Historical Data'!AC34</f>
        <v>0</v>
      </c>
      <c r="AD40" s="9">
        <f>'Historical Data'!AD34</f>
        <v>0</v>
      </c>
      <c r="AE40" s="9">
        <f>'Historical Data'!AE34</f>
        <v>0</v>
      </c>
      <c r="AF40" s="9">
        <f>'Historical Data'!AF34</f>
        <v>0</v>
      </c>
      <c r="AG40" s="9">
        <f>'Historical Data'!AG34</f>
        <v>0</v>
      </c>
      <c r="AH40" s="9">
        <f>'Historical Data'!AH34</f>
        <v>0</v>
      </c>
      <c r="AI40" s="9">
        <f>'Historical Data'!AI34</f>
        <v>0</v>
      </c>
      <c r="AJ40" s="9">
        <f>'Historical Data'!AJ34</f>
        <v>0</v>
      </c>
      <c r="AK40" s="9">
        <f>'Historical Data'!AK34</f>
        <v>0</v>
      </c>
      <c r="AL40" s="9">
        <f>'Historical Data'!AL34</f>
        <v>0</v>
      </c>
      <c r="AM40" s="9">
        <f>AL40</f>
        <v>0</v>
      </c>
      <c r="AN40" s="9">
        <f>AM40</f>
        <v>0</v>
      </c>
      <c r="AO40" s="9">
        <f>AN40</f>
        <v>0</v>
      </c>
      <c r="AP40" s="9">
        <f>AO40</f>
        <v>0</v>
      </c>
      <c r="AQ40" s="9">
        <f>AP40</f>
        <v>0</v>
      </c>
      <c r="AR40" s="9">
        <f>AQ40</f>
        <v>0</v>
      </c>
      <c r="AS40" s="9">
        <f>AR40</f>
        <v>0</v>
      </c>
      <c r="AT40" s="9">
        <f>AS40</f>
        <v>0</v>
      </c>
      <c r="AU40" s="9">
        <f>AT40</f>
        <v>0</v>
      </c>
      <c r="AV40" s="9">
        <f>AU40</f>
        <v>0</v>
      </c>
      <c r="AW40" s="9">
        <f>AV40</f>
        <v>0</v>
      </c>
      <c r="AX40" s="9">
        <f>AW40</f>
        <v>0</v>
      </c>
      <c r="AY40" s="9">
        <f>AX40</f>
        <v>0</v>
      </c>
      <c r="AZ40" s="9">
        <f>AY40</f>
        <v>0</v>
      </c>
      <c r="BA40" s="9">
        <f>AZ40</f>
        <v>0</v>
      </c>
      <c r="BB40" s="9">
        <f>BA40</f>
        <v>0</v>
      </c>
      <c r="BC40" s="9">
        <f>BB40</f>
        <v>0</v>
      </c>
      <c r="BD40" s="9">
        <f>BC40</f>
        <v>0</v>
      </c>
      <c r="BE40" s="9">
        <f>BD40</f>
        <v>0</v>
      </c>
      <c r="BF40" s="9">
        <f>BE40</f>
        <v>0</v>
      </c>
      <c r="BG40" s="9">
        <f>BF40</f>
        <v>0</v>
      </c>
      <c r="BH40" s="9">
        <f>BG40</f>
        <v>0</v>
      </c>
      <c r="BI40" s="9">
        <f>BH40</f>
        <v>0</v>
      </c>
      <c r="BJ40" s="9">
        <f>BI40</f>
        <v>0</v>
      </c>
    </row>
    <row r="41" spans="1:62">
      <c r="A41" t="s">
        <v>44</v>
      </c>
      <c r="B41" t="s">
        <v>12</v>
      </c>
      <c r="C41" s="9">
        <f>'Historical Data'!C42</f>
        <v>0</v>
      </c>
      <c r="D41" s="9">
        <f>'Historical Data'!D42</f>
        <v>0</v>
      </c>
      <c r="E41" s="9">
        <f>'Historical Data'!E42</f>
        <v>0</v>
      </c>
      <c r="F41" s="9">
        <f>'Historical Data'!F42</f>
        <v>0</v>
      </c>
      <c r="G41" s="9">
        <f>'Historical Data'!G42</f>
        <v>0</v>
      </c>
      <c r="H41" s="9">
        <f>'Historical Data'!H42</f>
        <v>0</v>
      </c>
      <c r="I41" s="9">
        <f>'Historical Data'!I42</f>
        <v>0</v>
      </c>
      <c r="J41" s="9">
        <f>'Historical Data'!J42</f>
        <v>0</v>
      </c>
      <c r="K41" s="9">
        <f>'Historical Data'!K42</f>
        <v>0</v>
      </c>
      <c r="L41" s="9">
        <f>'Historical Data'!L42</f>
        <v>0</v>
      </c>
      <c r="M41" s="9">
        <f>'Historical Data'!M42</f>
        <v>0</v>
      </c>
      <c r="N41" s="9">
        <f>'Historical Data'!N42</f>
        <v>0</v>
      </c>
      <c r="O41" s="9">
        <f>'Historical Data'!O42</f>
        <v>0</v>
      </c>
      <c r="P41" s="9">
        <f>'Historical Data'!P42</f>
        <v>0</v>
      </c>
      <c r="Q41" s="9">
        <f>'Historical Data'!Q42</f>
        <v>0</v>
      </c>
      <c r="R41" s="9">
        <f>'Historical Data'!R42</f>
        <v>0</v>
      </c>
      <c r="S41" s="9">
        <f>'Historical Data'!S42</f>
        <v>0</v>
      </c>
      <c r="T41" s="9">
        <f>'Historical Data'!T42</f>
        <v>0</v>
      </c>
      <c r="U41" s="9">
        <f>'Historical Data'!U42</f>
        <v>0</v>
      </c>
      <c r="V41" s="9">
        <f>'Historical Data'!V42</f>
        <v>0</v>
      </c>
      <c r="W41" s="9">
        <f>'Historical Data'!W42</f>
        <v>0</v>
      </c>
      <c r="X41" s="9">
        <f>'Historical Data'!X42</f>
        <v>0</v>
      </c>
      <c r="Y41" s="9">
        <f>'Historical Data'!Y42</f>
        <v>0</v>
      </c>
      <c r="Z41" s="9">
        <f>'Historical Data'!Z42</f>
        <v>0</v>
      </c>
      <c r="AA41" s="9">
        <f>'Historical Data'!AA42</f>
        <v>0</v>
      </c>
      <c r="AB41" s="9">
        <f>'Historical Data'!AB42</f>
        <v>0</v>
      </c>
      <c r="AC41" s="9">
        <f>'Historical Data'!AC42</f>
        <v>0</v>
      </c>
      <c r="AD41" s="9">
        <f>'Historical Data'!AD42</f>
        <v>0</v>
      </c>
      <c r="AE41" s="9">
        <f>'Historical Data'!AE42</f>
        <v>0</v>
      </c>
      <c r="AF41" s="9">
        <f>'Historical Data'!AF42</f>
        <v>0</v>
      </c>
      <c r="AG41" s="9">
        <f>'Historical Data'!AG42</f>
        <v>0</v>
      </c>
      <c r="AH41" s="9">
        <f>'Historical Data'!AH42</f>
        <v>0</v>
      </c>
      <c r="AI41" s="9">
        <f>'Historical Data'!AI42</f>
        <v>0</v>
      </c>
      <c r="AJ41" s="9">
        <f>'Historical Data'!AJ42</f>
        <v>0</v>
      </c>
      <c r="AK41" s="9">
        <f>'Historical Data'!AK42</f>
        <v>0</v>
      </c>
      <c r="AL41" s="9">
        <f>'Historical Data'!AL42</f>
        <v>0</v>
      </c>
      <c r="AM41" s="9">
        <f>AL41</f>
        <v>0</v>
      </c>
      <c r="AN41" s="9">
        <f>AM41</f>
        <v>0</v>
      </c>
      <c r="AO41" s="9">
        <f>AN41</f>
        <v>0</v>
      </c>
      <c r="AP41" s="9">
        <f>AO41</f>
        <v>0</v>
      </c>
      <c r="AQ41" s="9">
        <f>AP41</f>
        <v>0</v>
      </c>
      <c r="AR41" s="9">
        <f>AQ41</f>
        <v>0</v>
      </c>
      <c r="AS41" s="9">
        <f>AR41</f>
        <v>0</v>
      </c>
      <c r="AT41" s="9">
        <f>AS41</f>
        <v>0</v>
      </c>
      <c r="AU41" s="9">
        <f>AT41</f>
        <v>0</v>
      </c>
      <c r="AV41" s="9">
        <f>AU41</f>
        <v>0</v>
      </c>
      <c r="AW41" s="9">
        <f>AV41</f>
        <v>0</v>
      </c>
      <c r="AX41" s="9">
        <f>AW41</f>
        <v>0</v>
      </c>
      <c r="AY41" s="9">
        <f>AX41</f>
        <v>0</v>
      </c>
      <c r="AZ41" s="9">
        <f>AY41</f>
        <v>0</v>
      </c>
      <c r="BA41" s="9">
        <f>AZ41</f>
        <v>0</v>
      </c>
      <c r="BB41" s="9">
        <f>BA41</f>
        <v>0</v>
      </c>
      <c r="BC41" s="9">
        <f>BB41</f>
        <v>0</v>
      </c>
      <c r="BD41" s="9">
        <f>BC41</f>
        <v>0</v>
      </c>
      <c r="BE41" s="9">
        <f>BD41</f>
        <v>0</v>
      </c>
      <c r="BF41" s="9">
        <f>BE41</f>
        <v>0</v>
      </c>
      <c r="BG41" s="9">
        <f>BF41</f>
        <v>0</v>
      </c>
      <c r="BH41" s="9">
        <f>BG41</f>
        <v>0</v>
      </c>
      <c r="BI41" s="9">
        <f>BH41</f>
        <v>0</v>
      </c>
      <c r="BJ41" s="9">
        <f>BI41</f>
        <v>0</v>
      </c>
    </row>
    <row r="42" spans="1:62">
      <c r="A42" s="10" t="s">
        <v>57</v>
      </c>
      <c r="C42" s="10">
        <f>SUM(C37:C41)</f>
        <v>0</v>
      </c>
      <c r="D42" s="10">
        <f>SUM(D37:D41)</f>
        <v>0</v>
      </c>
      <c r="E42" s="10">
        <f>SUM(E37:E41)</f>
        <v>0</v>
      </c>
      <c r="F42" s="10">
        <f>SUM(F37:F41)</f>
        <v>0</v>
      </c>
      <c r="G42" s="10">
        <f>SUM(G37:G41)</f>
        <v>0</v>
      </c>
      <c r="H42" s="10">
        <f>SUM(H37:H41)</f>
        <v>0</v>
      </c>
      <c r="I42" s="10">
        <f>SUM(I37:I41)</f>
        <v>0</v>
      </c>
      <c r="J42" s="10">
        <f>SUM(J37:J41)</f>
        <v>0</v>
      </c>
      <c r="K42" s="10">
        <f>SUM(K37:K41)</f>
        <v>0</v>
      </c>
      <c r="L42" s="10">
        <f>SUM(L37:L41)</f>
        <v>0</v>
      </c>
      <c r="M42" s="10">
        <f>SUM(M37:M41)</f>
        <v>0</v>
      </c>
      <c r="N42" s="10">
        <f>SUM(N37:N41)</f>
        <v>0</v>
      </c>
      <c r="O42" s="10">
        <f>SUM(O37:O41)</f>
        <v>0</v>
      </c>
      <c r="P42" s="10">
        <f>SUM(P37:P41)</f>
        <v>0</v>
      </c>
      <c r="Q42" s="10">
        <f>SUM(Q37:Q41)</f>
        <v>0</v>
      </c>
      <c r="R42" s="10">
        <f>SUM(R37:R41)</f>
        <v>0</v>
      </c>
      <c r="S42" s="10">
        <f>SUM(S37:S41)</f>
        <v>0</v>
      </c>
      <c r="T42" s="10">
        <f>SUM(T37:T41)</f>
        <v>0</v>
      </c>
      <c r="U42" s="10">
        <f>SUM(U37:U41)</f>
        <v>0</v>
      </c>
      <c r="V42" s="10">
        <f>SUM(V37:V41)</f>
        <v>0</v>
      </c>
      <c r="W42" s="10">
        <f>SUM(W37:W41)</f>
        <v>0</v>
      </c>
      <c r="X42" s="10">
        <f>SUM(X37:X41)</f>
        <v>0</v>
      </c>
      <c r="Y42" s="10">
        <f>SUM(Y37:Y41)</f>
        <v>0</v>
      </c>
      <c r="Z42" s="10">
        <f>SUM(Z37:Z41)</f>
        <v>0</v>
      </c>
      <c r="AA42" s="10">
        <f>SUM(AA37:AA41)</f>
        <v>0</v>
      </c>
      <c r="AB42" s="10">
        <f>SUM(AB37:AB41)</f>
        <v>0</v>
      </c>
      <c r="AC42" s="10">
        <f>SUM(AC37:AC41)</f>
        <v>0</v>
      </c>
      <c r="AD42" s="10">
        <f>SUM(AD37:AD41)</f>
        <v>0</v>
      </c>
      <c r="AE42" s="10">
        <f>SUM(AE37:AE41)</f>
        <v>0</v>
      </c>
      <c r="AF42" s="10">
        <f>SUM(AF37:AF41)</f>
        <v>0</v>
      </c>
      <c r="AG42" s="10">
        <f>SUM(AG37:AG41)</f>
        <v>0</v>
      </c>
      <c r="AH42" s="10">
        <f>SUM(AH37:AH41)</f>
        <v>0</v>
      </c>
      <c r="AI42" s="10">
        <f>SUM(AI37:AI41)</f>
        <v>0</v>
      </c>
      <c r="AJ42" s="10">
        <f>SUM(AJ37:AJ41)</f>
        <v>0</v>
      </c>
      <c r="AK42" s="10">
        <f>SUM(AK37:AK41)</f>
        <v>0</v>
      </c>
      <c r="AL42" s="10">
        <f>SUM(AL37:AL41)</f>
        <v>0</v>
      </c>
      <c r="AM42" s="10">
        <f>SUM(AM37:AM41)</f>
        <v>0</v>
      </c>
      <c r="AN42" s="10">
        <f>SUM(AN37:AN41)</f>
        <v>0</v>
      </c>
      <c r="AO42" s="10">
        <f>SUM(AO37:AO41)</f>
        <v>0</v>
      </c>
      <c r="AP42" s="10">
        <f>SUM(AP37:AP41)</f>
        <v>0</v>
      </c>
      <c r="AQ42" s="10">
        <f>SUM(AQ37:AQ41)</f>
        <v>0</v>
      </c>
      <c r="AR42" s="10">
        <f>SUM(AR37:AR41)</f>
        <v>0</v>
      </c>
      <c r="AS42" s="10">
        <f>SUM(AS37:AS41)</f>
        <v>0</v>
      </c>
      <c r="AT42" s="10">
        <f>SUM(AT37:AT41)</f>
        <v>0</v>
      </c>
      <c r="AU42" s="10">
        <f>SUM(AU37:AU41)</f>
        <v>0</v>
      </c>
      <c r="AV42" s="10">
        <f>SUM(AV37:AV41)</f>
        <v>0</v>
      </c>
      <c r="AW42" s="10">
        <f>SUM(AW37:AW41)</f>
        <v>0</v>
      </c>
      <c r="AX42" s="10">
        <f>SUM(AX37:AX41)</f>
        <v>0</v>
      </c>
      <c r="AY42" s="10">
        <f>SUM(AY37:AY41)</f>
        <v>0</v>
      </c>
      <c r="AZ42" s="10">
        <f>SUM(AZ37:AZ41)</f>
        <v>0</v>
      </c>
      <c r="BA42" s="10">
        <f>SUM(BA37:BA41)</f>
        <v>0</v>
      </c>
      <c r="BB42" s="10">
        <f>SUM(BB37:BB41)</f>
        <v>0</v>
      </c>
      <c r="BC42" s="10">
        <f>SUM(BC37:BC41)</f>
        <v>0</v>
      </c>
      <c r="BD42" s="10">
        <f>SUM(BD37:BD41)</f>
        <v>0</v>
      </c>
      <c r="BE42" s="10">
        <f>SUM(BE37:BE41)</f>
        <v>0</v>
      </c>
      <c r="BF42" s="10">
        <f>SUM(BF37:BF41)</f>
        <v>0</v>
      </c>
      <c r="BG42" s="10">
        <f>SUM(BG37:BG41)</f>
        <v>0</v>
      </c>
      <c r="BH42" s="10">
        <f>SUM(BH37:BH41)</f>
        <v>0</v>
      </c>
      <c r="BI42" s="10">
        <f>SUM(BI37:BI41)</f>
        <v>0</v>
      </c>
      <c r="BJ42" s="10">
        <f>SUM(BJ37:BJ41)</f>
        <v>0</v>
      </c>
    </row>
    <row r="44" spans="1:62">
      <c r="A44" s="2" t="s">
        <v>45</v>
      </c>
    </row>
    <row r="45" spans="1:62">
      <c r="A45" t="s">
        <v>45</v>
      </c>
      <c r="B45" t="s">
        <v>8</v>
      </c>
      <c r="C45" s="9">
        <f>'Historical Data'!C11</f>
        <v>0</v>
      </c>
      <c r="D45" s="9">
        <f>'Historical Data'!D11</f>
        <v>0</v>
      </c>
      <c r="E45" s="9">
        <f>'Historical Data'!E11</f>
        <v>0</v>
      </c>
      <c r="F45" s="9">
        <f>'Historical Data'!F11</f>
        <v>0</v>
      </c>
      <c r="G45" s="9">
        <f>'Historical Data'!G11</f>
        <v>0</v>
      </c>
      <c r="H45" s="9">
        <f>'Historical Data'!H11</f>
        <v>0</v>
      </c>
      <c r="I45" s="9">
        <f>'Historical Data'!I11</f>
        <v>0</v>
      </c>
      <c r="J45" s="9">
        <f>'Historical Data'!J11</f>
        <v>0</v>
      </c>
      <c r="K45" s="9">
        <f>'Historical Data'!K11</f>
        <v>0</v>
      </c>
      <c r="L45" s="9">
        <f>'Historical Data'!L11</f>
        <v>0</v>
      </c>
      <c r="M45" s="9">
        <f>'Historical Data'!M11</f>
        <v>0</v>
      </c>
      <c r="N45" s="9">
        <f>'Historical Data'!N11</f>
        <v>0</v>
      </c>
      <c r="O45" s="9">
        <f>'Historical Data'!O11</f>
        <v>0</v>
      </c>
      <c r="P45" s="9">
        <f>'Historical Data'!P11</f>
        <v>0</v>
      </c>
      <c r="Q45" s="9">
        <f>'Historical Data'!Q11</f>
        <v>0</v>
      </c>
      <c r="R45" s="9">
        <f>'Historical Data'!R11</f>
        <v>0</v>
      </c>
      <c r="S45" s="9">
        <f>'Historical Data'!S11</f>
        <v>0</v>
      </c>
      <c r="T45" s="9">
        <f>'Historical Data'!T11</f>
        <v>0</v>
      </c>
      <c r="U45" s="9">
        <f>'Historical Data'!U11</f>
        <v>0</v>
      </c>
      <c r="V45" s="9">
        <f>'Historical Data'!V11</f>
        <v>0</v>
      </c>
      <c r="W45" s="9">
        <f>'Historical Data'!W11</f>
        <v>0</v>
      </c>
      <c r="X45" s="9">
        <f>'Historical Data'!X11</f>
        <v>0</v>
      </c>
      <c r="Y45" s="9">
        <f>'Historical Data'!Y11</f>
        <v>0</v>
      </c>
      <c r="Z45" s="9">
        <f>'Historical Data'!Z11</f>
        <v>0</v>
      </c>
      <c r="AA45" s="9">
        <f>'Historical Data'!AA11</f>
        <v>0</v>
      </c>
      <c r="AB45" s="9">
        <f>'Historical Data'!AB11</f>
        <v>0</v>
      </c>
      <c r="AC45" s="9">
        <f>'Historical Data'!AC11</f>
        <v>0</v>
      </c>
      <c r="AD45" s="9">
        <f>'Historical Data'!AD11</f>
        <v>0</v>
      </c>
      <c r="AE45" s="9">
        <f>'Historical Data'!AE11</f>
        <v>0</v>
      </c>
      <c r="AF45" s="9">
        <f>'Historical Data'!AF11</f>
        <v>0</v>
      </c>
      <c r="AG45" s="9">
        <f>'Historical Data'!AG11</f>
        <v>0</v>
      </c>
      <c r="AH45" s="9">
        <f>'Historical Data'!AH11</f>
        <v>0</v>
      </c>
      <c r="AI45" s="9">
        <f>'Historical Data'!AI11</f>
        <v>0</v>
      </c>
      <c r="AJ45" s="9">
        <f>'Historical Data'!AJ11</f>
        <v>0</v>
      </c>
      <c r="AK45" s="9">
        <f>'Historical Data'!AK11</f>
        <v>0</v>
      </c>
      <c r="AL45" s="9">
        <f>'Historical Data'!AL11</f>
        <v>0</v>
      </c>
      <c r="AM45" s="9">
        <f>'Revenue Forecast'!AM4*Driver_OtherOpEx</f>
        <v>0</v>
      </c>
      <c r="AN45" s="9">
        <f>'Revenue Forecast'!AN4*Driver_OtherOpEx</f>
        <v>0</v>
      </c>
      <c r="AO45" s="9">
        <f>'Revenue Forecast'!AO4*Driver_OtherOpEx</f>
        <v>0</v>
      </c>
      <c r="AP45" s="9">
        <f>'Revenue Forecast'!AP4*Driver_OtherOpEx</f>
        <v>0</v>
      </c>
      <c r="AQ45" s="9">
        <f>'Revenue Forecast'!AQ4*Driver_OtherOpEx</f>
        <v>0</v>
      </c>
      <c r="AR45" s="9">
        <f>'Revenue Forecast'!AR4*Driver_OtherOpEx</f>
        <v>0</v>
      </c>
      <c r="AS45" s="9">
        <f>'Revenue Forecast'!AS4*Driver_OtherOpEx</f>
        <v>0</v>
      </c>
      <c r="AT45" s="9">
        <f>'Revenue Forecast'!AT4*Driver_OtherOpEx</f>
        <v>0</v>
      </c>
      <c r="AU45" s="9">
        <f>'Revenue Forecast'!AU4*Driver_OtherOpEx</f>
        <v>0</v>
      </c>
      <c r="AV45" s="9">
        <f>'Revenue Forecast'!AV4*Driver_OtherOpEx</f>
        <v>0</v>
      </c>
      <c r="AW45" s="9">
        <f>'Revenue Forecast'!AW4*Driver_OtherOpEx</f>
        <v>0</v>
      </c>
      <c r="AX45" s="9">
        <f>'Revenue Forecast'!AX4*Driver_OtherOpEx</f>
        <v>0</v>
      </c>
      <c r="AY45" s="9">
        <f>'Revenue Forecast'!AY4*Driver_OtherOpEx</f>
        <v>0</v>
      </c>
      <c r="AZ45" s="9">
        <f>'Revenue Forecast'!AZ4*Driver_OtherOpEx</f>
        <v>0</v>
      </c>
      <c r="BA45" s="9">
        <f>'Revenue Forecast'!BA4*Driver_OtherOpEx</f>
        <v>0</v>
      </c>
      <c r="BB45" s="9">
        <f>'Revenue Forecast'!BB4*Driver_OtherOpEx</f>
        <v>0</v>
      </c>
      <c r="BC45" s="9">
        <f>'Revenue Forecast'!BC4*Driver_OtherOpEx</f>
        <v>0</v>
      </c>
      <c r="BD45" s="9">
        <f>'Revenue Forecast'!BD4*Driver_OtherOpEx</f>
        <v>0</v>
      </c>
      <c r="BE45" s="9">
        <f>'Revenue Forecast'!BE4*Driver_OtherOpEx</f>
        <v>0</v>
      </c>
      <c r="BF45" s="9">
        <f>'Revenue Forecast'!BF4*Driver_OtherOpEx</f>
        <v>0</v>
      </c>
      <c r="BG45" s="9">
        <f>'Revenue Forecast'!BG4*Driver_OtherOpEx</f>
        <v>0</v>
      </c>
      <c r="BH45" s="9">
        <f>'Revenue Forecast'!BH4*Driver_OtherOpEx</f>
        <v>0</v>
      </c>
      <c r="BI45" s="9">
        <f>'Revenue Forecast'!BI4*Driver_OtherOpEx</f>
        <v>0</v>
      </c>
      <c r="BJ45" s="9">
        <f>'Revenue Forecast'!BJ4*Driver_OtherOpEx</f>
        <v>0</v>
      </c>
    </row>
    <row r="46" spans="1:62">
      <c r="A46" t="s">
        <v>45</v>
      </c>
      <c r="B46" t="s">
        <v>9</v>
      </c>
      <c r="C46" s="9">
        <f>'Historical Data'!C19</f>
        <v>0</v>
      </c>
      <c r="D46" s="9">
        <f>'Historical Data'!D19</f>
        <v>0</v>
      </c>
      <c r="E46" s="9">
        <f>'Historical Data'!E19</f>
        <v>0</v>
      </c>
      <c r="F46" s="9">
        <f>'Historical Data'!F19</f>
        <v>0</v>
      </c>
      <c r="G46" s="9">
        <f>'Historical Data'!G19</f>
        <v>0</v>
      </c>
      <c r="H46" s="9">
        <f>'Historical Data'!H19</f>
        <v>0</v>
      </c>
      <c r="I46" s="9">
        <f>'Historical Data'!I19</f>
        <v>0</v>
      </c>
      <c r="J46" s="9">
        <f>'Historical Data'!J19</f>
        <v>0</v>
      </c>
      <c r="K46" s="9">
        <f>'Historical Data'!K19</f>
        <v>0</v>
      </c>
      <c r="L46" s="9">
        <f>'Historical Data'!L19</f>
        <v>0</v>
      </c>
      <c r="M46" s="9">
        <f>'Historical Data'!M19</f>
        <v>0</v>
      </c>
      <c r="N46" s="9">
        <f>'Historical Data'!N19</f>
        <v>0</v>
      </c>
      <c r="O46" s="9">
        <f>'Historical Data'!O19</f>
        <v>0</v>
      </c>
      <c r="P46" s="9">
        <f>'Historical Data'!P19</f>
        <v>0</v>
      </c>
      <c r="Q46" s="9">
        <f>'Historical Data'!Q19</f>
        <v>0</v>
      </c>
      <c r="R46" s="9">
        <f>'Historical Data'!R19</f>
        <v>0</v>
      </c>
      <c r="S46" s="9">
        <f>'Historical Data'!S19</f>
        <v>0</v>
      </c>
      <c r="T46" s="9">
        <f>'Historical Data'!T19</f>
        <v>0</v>
      </c>
      <c r="U46" s="9">
        <f>'Historical Data'!U19</f>
        <v>0</v>
      </c>
      <c r="V46" s="9">
        <f>'Historical Data'!V19</f>
        <v>0</v>
      </c>
      <c r="W46" s="9">
        <f>'Historical Data'!W19</f>
        <v>0</v>
      </c>
      <c r="X46" s="9">
        <f>'Historical Data'!X19</f>
        <v>0</v>
      </c>
      <c r="Y46" s="9">
        <f>'Historical Data'!Y19</f>
        <v>0</v>
      </c>
      <c r="Z46" s="9">
        <f>'Historical Data'!Z19</f>
        <v>0</v>
      </c>
      <c r="AA46" s="9">
        <f>'Historical Data'!AA19</f>
        <v>0</v>
      </c>
      <c r="AB46" s="9">
        <f>'Historical Data'!AB19</f>
        <v>0</v>
      </c>
      <c r="AC46" s="9">
        <f>'Historical Data'!AC19</f>
        <v>0</v>
      </c>
      <c r="AD46" s="9">
        <f>'Historical Data'!AD19</f>
        <v>0</v>
      </c>
      <c r="AE46" s="9">
        <f>'Historical Data'!AE19</f>
        <v>0</v>
      </c>
      <c r="AF46" s="9">
        <f>'Historical Data'!AF19</f>
        <v>0</v>
      </c>
      <c r="AG46" s="9">
        <f>'Historical Data'!AG19</f>
        <v>0</v>
      </c>
      <c r="AH46" s="9">
        <f>'Historical Data'!AH19</f>
        <v>0</v>
      </c>
      <c r="AI46" s="9">
        <f>'Historical Data'!AI19</f>
        <v>0</v>
      </c>
      <c r="AJ46" s="9">
        <f>'Historical Data'!AJ19</f>
        <v>0</v>
      </c>
      <c r="AK46" s="9">
        <f>'Historical Data'!AK19</f>
        <v>0</v>
      </c>
      <c r="AL46" s="9">
        <f>'Historical Data'!AL19</f>
        <v>0</v>
      </c>
      <c r="AM46" s="9">
        <f>'Revenue Forecast'!AM5*Driver_OtherOpEx</f>
        <v>0</v>
      </c>
      <c r="AN46" s="9">
        <f>'Revenue Forecast'!AN5*Driver_OtherOpEx</f>
        <v>0</v>
      </c>
      <c r="AO46" s="9">
        <f>'Revenue Forecast'!AO5*Driver_OtherOpEx</f>
        <v>0</v>
      </c>
      <c r="AP46" s="9">
        <f>'Revenue Forecast'!AP5*Driver_OtherOpEx</f>
        <v>0</v>
      </c>
      <c r="AQ46" s="9">
        <f>'Revenue Forecast'!AQ5*Driver_OtherOpEx</f>
        <v>0</v>
      </c>
      <c r="AR46" s="9">
        <f>'Revenue Forecast'!AR5*Driver_OtherOpEx</f>
        <v>0</v>
      </c>
      <c r="AS46" s="9">
        <f>'Revenue Forecast'!AS5*Driver_OtherOpEx</f>
        <v>0</v>
      </c>
      <c r="AT46" s="9">
        <f>'Revenue Forecast'!AT5*Driver_OtherOpEx</f>
        <v>0</v>
      </c>
      <c r="AU46" s="9">
        <f>'Revenue Forecast'!AU5*Driver_OtherOpEx</f>
        <v>0</v>
      </c>
      <c r="AV46" s="9">
        <f>'Revenue Forecast'!AV5*Driver_OtherOpEx</f>
        <v>0</v>
      </c>
      <c r="AW46" s="9">
        <f>'Revenue Forecast'!AW5*Driver_OtherOpEx</f>
        <v>0</v>
      </c>
      <c r="AX46" s="9">
        <f>'Revenue Forecast'!AX5*Driver_OtherOpEx</f>
        <v>0</v>
      </c>
      <c r="AY46" s="9">
        <f>'Revenue Forecast'!AY5*Driver_OtherOpEx</f>
        <v>0</v>
      </c>
      <c r="AZ46" s="9">
        <f>'Revenue Forecast'!AZ5*Driver_OtherOpEx</f>
        <v>0</v>
      </c>
      <c r="BA46" s="9">
        <f>'Revenue Forecast'!BA5*Driver_OtherOpEx</f>
        <v>0</v>
      </c>
      <c r="BB46" s="9">
        <f>'Revenue Forecast'!BB5*Driver_OtherOpEx</f>
        <v>0</v>
      </c>
      <c r="BC46" s="9">
        <f>'Revenue Forecast'!BC5*Driver_OtherOpEx</f>
        <v>0</v>
      </c>
      <c r="BD46" s="9">
        <f>'Revenue Forecast'!BD5*Driver_OtherOpEx</f>
        <v>0</v>
      </c>
      <c r="BE46" s="9">
        <f>'Revenue Forecast'!BE5*Driver_OtherOpEx</f>
        <v>0</v>
      </c>
      <c r="BF46" s="9">
        <f>'Revenue Forecast'!BF5*Driver_OtherOpEx</f>
        <v>0</v>
      </c>
      <c r="BG46" s="9">
        <f>'Revenue Forecast'!BG5*Driver_OtherOpEx</f>
        <v>0</v>
      </c>
      <c r="BH46" s="9">
        <f>'Revenue Forecast'!BH5*Driver_OtherOpEx</f>
        <v>0</v>
      </c>
      <c r="BI46" s="9">
        <f>'Revenue Forecast'!BI5*Driver_OtherOpEx</f>
        <v>0</v>
      </c>
      <c r="BJ46" s="9">
        <f>'Revenue Forecast'!BJ5*Driver_OtherOpEx</f>
        <v>0</v>
      </c>
    </row>
    <row r="47" spans="1:62">
      <c r="A47" t="s">
        <v>45</v>
      </c>
      <c r="B47" t="s">
        <v>10</v>
      </c>
      <c r="C47" s="9">
        <f>'Historical Data'!C27</f>
        <v>0</v>
      </c>
      <c r="D47" s="9">
        <f>'Historical Data'!D27</f>
        <v>0</v>
      </c>
      <c r="E47" s="9">
        <f>'Historical Data'!E27</f>
        <v>0</v>
      </c>
      <c r="F47" s="9">
        <f>'Historical Data'!F27</f>
        <v>0</v>
      </c>
      <c r="G47" s="9">
        <f>'Historical Data'!G27</f>
        <v>0</v>
      </c>
      <c r="H47" s="9">
        <f>'Historical Data'!H27</f>
        <v>0</v>
      </c>
      <c r="I47" s="9">
        <f>'Historical Data'!I27</f>
        <v>0</v>
      </c>
      <c r="J47" s="9">
        <f>'Historical Data'!J27</f>
        <v>0</v>
      </c>
      <c r="K47" s="9">
        <f>'Historical Data'!K27</f>
        <v>0</v>
      </c>
      <c r="L47" s="9">
        <f>'Historical Data'!L27</f>
        <v>0</v>
      </c>
      <c r="M47" s="9">
        <f>'Historical Data'!M27</f>
        <v>0</v>
      </c>
      <c r="N47" s="9">
        <f>'Historical Data'!N27</f>
        <v>0</v>
      </c>
      <c r="O47" s="9">
        <f>'Historical Data'!O27</f>
        <v>0</v>
      </c>
      <c r="P47" s="9">
        <f>'Historical Data'!P27</f>
        <v>0</v>
      </c>
      <c r="Q47" s="9">
        <f>'Historical Data'!Q27</f>
        <v>0</v>
      </c>
      <c r="R47" s="9">
        <f>'Historical Data'!R27</f>
        <v>0</v>
      </c>
      <c r="S47" s="9">
        <f>'Historical Data'!S27</f>
        <v>0</v>
      </c>
      <c r="T47" s="9">
        <f>'Historical Data'!T27</f>
        <v>0</v>
      </c>
      <c r="U47" s="9">
        <f>'Historical Data'!U27</f>
        <v>0</v>
      </c>
      <c r="V47" s="9">
        <f>'Historical Data'!V27</f>
        <v>0</v>
      </c>
      <c r="W47" s="9">
        <f>'Historical Data'!W27</f>
        <v>0</v>
      </c>
      <c r="X47" s="9">
        <f>'Historical Data'!X27</f>
        <v>0</v>
      </c>
      <c r="Y47" s="9">
        <f>'Historical Data'!Y27</f>
        <v>0</v>
      </c>
      <c r="Z47" s="9">
        <f>'Historical Data'!Z27</f>
        <v>0</v>
      </c>
      <c r="AA47" s="9">
        <f>'Historical Data'!AA27</f>
        <v>0</v>
      </c>
      <c r="AB47" s="9">
        <f>'Historical Data'!AB27</f>
        <v>0</v>
      </c>
      <c r="AC47" s="9">
        <f>'Historical Data'!AC27</f>
        <v>0</v>
      </c>
      <c r="AD47" s="9">
        <f>'Historical Data'!AD27</f>
        <v>0</v>
      </c>
      <c r="AE47" s="9">
        <f>'Historical Data'!AE27</f>
        <v>0</v>
      </c>
      <c r="AF47" s="9">
        <f>'Historical Data'!AF27</f>
        <v>0</v>
      </c>
      <c r="AG47" s="9">
        <f>'Historical Data'!AG27</f>
        <v>0</v>
      </c>
      <c r="AH47" s="9">
        <f>'Historical Data'!AH27</f>
        <v>0</v>
      </c>
      <c r="AI47" s="9">
        <f>'Historical Data'!AI27</f>
        <v>0</v>
      </c>
      <c r="AJ47" s="9">
        <f>'Historical Data'!AJ27</f>
        <v>0</v>
      </c>
      <c r="AK47" s="9">
        <f>'Historical Data'!AK27</f>
        <v>0</v>
      </c>
      <c r="AL47" s="9">
        <f>'Historical Data'!AL27</f>
        <v>0</v>
      </c>
      <c r="AM47" s="9">
        <f>'Revenue Forecast'!AM6*Driver_OtherOpEx</f>
        <v>0</v>
      </c>
      <c r="AN47" s="9">
        <f>'Revenue Forecast'!AN6*Driver_OtherOpEx</f>
        <v>0</v>
      </c>
      <c r="AO47" s="9">
        <f>'Revenue Forecast'!AO6*Driver_OtherOpEx</f>
        <v>0</v>
      </c>
      <c r="AP47" s="9">
        <f>'Revenue Forecast'!AP6*Driver_OtherOpEx</f>
        <v>0</v>
      </c>
      <c r="AQ47" s="9">
        <f>'Revenue Forecast'!AQ6*Driver_OtherOpEx</f>
        <v>0</v>
      </c>
      <c r="AR47" s="9">
        <f>'Revenue Forecast'!AR6*Driver_OtherOpEx</f>
        <v>0</v>
      </c>
      <c r="AS47" s="9">
        <f>'Revenue Forecast'!AS6*Driver_OtherOpEx</f>
        <v>0</v>
      </c>
      <c r="AT47" s="9">
        <f>'Revenue Forecast'!AT6*Driver_OtherOpEx</f>
        <v>0</v>
      </c>
      <c r="AU47" s="9">
        <f>'Revenue Forecast'!AU6*Driver_OtherOpEx</f>
        <v>0</v>
      </c>
      <c r="AV47" s="9">
        <f>'Revenue Forecast'!AV6*Driver_OtherOpEx</f>
        <v>0</v>
      </c>
      <c r="AW47" s="9">
        <f>'Revenue Forecast'!AW6*Driver_OtherOpEx</f>
        <v>0</v>
      </c>
      <c r="AX47" s="9">
        <f>'Revenue Forecast'!AX6*Driver_OtherOpEx</f>
        <v>0</v>
      </c>
      <c r="AY47" s="9">
        <f>'Revenue Forecast'!AY6*Driver_OtherOpEx</f>
        <v>0</v>
      </c>
      <c r="AZ47" s="9">
        <f>'Revenue Forecast'!AZ6*Driver_OtherOpEx</f>
        <v>0</v>
      </c>
      <c r="BA47" s="9">
        <f>'Revenue Forecast'!BA6*Driver_OtherOpEx</f>
        <v>0</v>
      </c>
      <c r="BB47" s="9">
        <f>'Revenue Forecast'!BB6*Driver_OtherOpEx</f>
        <v>0</v>
      </c>
      <c r="BC47" s="9">
        <f>'Revenue Forecast'!BC6*Driver_OtherOpEx</f>
        <v>0</v>
      </c>
      <c r="BD47" s="9">
        <f>'Revenue Forecast'!BD6*Driver_OtherOpEx</f>
        <v>0</v>
      </c>
      <c r="BE47" s="9">
        <f>'Revenue Forecast'!BE6*Driver_OtherOpEx</f>
        <v>0</v>
      </c>
      <c r="BF47" s="9">
        <f>'Revenue Forecast'!BF6*Driver_OtherOpEx</f>
        <v>0</v>
      </c>
      <c r="BG47" s="9">
        <f>'Revenue Forecast'!BG6*Driver_OtherOpEx</f>
        <v>0</v>
      </c>
      <c r="BH47" s="9">
        <f>'Revenue Forecast'!BH6*Driver_OtherOpEx</f>
        <v>0</v>
      </c>
      <c r="BI47" s="9">
        <f>'Revenue Forecast'!BI6*Driver_OtherOpEx</f>
        <v>0</v>
      </c>
      <c r="BJ47" s="9">
        <f>'Revenue Forecast'!BJ6*Driver_OtherOpEx</f>
        <v>0</v>
      </c>
    </row>
    <row r="48" spans="1:62">
      <c r="A48" t="s">
        <v>45</v>
      </c>
      <c r="B48" t="s">
        <v>11</v>
      </c>
      <c r="C48" s="9">
        <f>'Historical Data'!C35</f>
        <v>0</v>
      </c>
      <c r="D48" s="9">
        <f>'Historical Data'!D35</f>
        <v>0</v>
      </c>
      <c r="E48" s="9">
        <f>'Historical Data'!E35</f>
        <v>0</v>
      </c>
      <c r="F48" s="9">
        <f>'Historical Data'!F35</f>
        <v>0</v>
      </c>
      <c r="G48" s="9">
        <f>'Historical Data'!G35</f>
        <v>0</v>
      </c>
      <c r="H48" s="9">
        <f>'Historical Data'!H35</f>
        <v>0</v>
      </c>
      <c r="I48" s="9">
        <f>'Historical Data'!I35</f>
        <v>0</v>
      </c>
      <c r="J48" s="9">
        <f>'Historical Data'!J35</f>
        <v>0</v>
      </c>
      <c r="K48" s="9">
        <f>'Historical Data'!K35</f>
        <v>0</v>
      </c>
      <c r="L48" s="9">
        <f>'Historical Data'!L35</f>
        <v>0</v>
      </c>
      <c r="M48" s="9">
        <f>'Historical Data'!M35</f>
        <v>0</v>
      </c>
      <c r="N48" s="9">
        <f>'Historical Data'!N35</f>
        <v>0</v>
      </c>
      <c r="O48" s="9">
        <f>'Historical Data'!O35</f>
        <v>0</v>
      </c>
      <c r="P48" s="9">
        <f>'Historical Data'!P35</f>
        <v>0</v>
      </c>
      <c r="Q48" s="9">
        <f>'Historical Data'!Q35</f>
        <v>0</v>
      </c>
      <c r="R48" s="9">
        <f>'Historical Data'!R35</f>
        <v>0</v>
      </c>
      <c r="S48" s="9">
        <f>'Historical Data'!S35</f>
        <v>0</v>
      </c>
      <c r="T48" s="9">
        <f>'Historical Data'!T35</f>
        <v>0</v>
      </c>
      <c r="U48" s="9">
        <f>'Historical Data'!U35</f>
        <v>0</v>
      </c>
      <c r="V48" s="9">
        <f>'Historical Data'!V35</f>
        <v>0</v>
      </c>
      <c r="W48" s="9">
        <f>'Historical Data'!W35</f>
        <v>0</v>
      </c>
      <c r="X48" s="9">
        <f>'Historical Data'!X35</f>
        <v>0</v>
      </c>
      <c r="Y48" s="9">
        <f>'Historical Data'!Y35</f>
        <v>0</v>
      </c>
      <c r="Z48" s="9">
        <f>'Historical Data'!Z35</f>
        <v>0</v>
      </c>
      <c r="AA48" s="9">
        <f>'Historical Data'!AA35</f>
        <v>0</v>
      </c>
      <c r="AB48" s="9">
        <f>'Historical Data'!AB35</f>
        <v>0</v>
      </c>
      <c r="AC48" s="9">
        <f>'Historical Data'!AC35</f>
        <v>0</v>
      </c>
      <c r="AD48" s="9">
        <f>'Historical Data'!AD35</f>
        <v>0</v>
      </c>
      <c r="AE48" s="9">
        <f>'Historical Data'!AE35</f>
        <v>0</v>
      </c>
      <c r="AF48" s="9">
        <f>'Historical Data'!AF35</f>
        <v>0</v>
      </c>
      <c r="AG48" s="9">
        <f>'Historical Data'!AG35</f>
        <v>0</v>
      </c>
      <c r="AH48" s="9">
        <f>'Historical Data'!AH35</f>
        <v>0</v>
      </c>
      <c r="AI48" s="9">
        <f>'Historical Data'!AI35</f>
        <v>0</v>
      </c>
      <c r="AJ48" s="9">
        <f>'Historical Data'!AJ35</f>
        <v>0</v>
      </c>
      <c r="AK48" s="9">
        <f>'Historical Data'!AK35</f>
        <v>0</v>
      </c>
      <c r="AL48" s="9">
        <f>'Historical Data'!AL35</f>
        <v>0</v>
      </c>
      <c r="AM48" s="9">
        <f>'Revenue Forecast'!AM7*Driver_OtherOpEx</f>
        <v>0</v>
      </c>
      <c r="AN48" s="9">
        <f>'Revenue Forecast'!AN7*Driver_OtherOpEx</f>
        <v>0</v>
      </c>
      <c r="AO48" s="9">
        <f>'Revenue Forecast'!AO7*Driver_OtherOpEx</f>
        <v>0</v>
      </c>
      <c r="AP48" s="9">
        <f>'Revenue Forecast'!AP7*Driver_OtherOpEx</f>
        <v>0</v>
      </c>
      <c r="AQ48" s="9">
        <f>'Revenue Forecast'!AQ7*Driver_OtherOpEx</f>
        <v>0</v>
      </c>
      <c r="AR48" s="9">
        <f>'Revenue Forecast'!AR7*Driver_OtherOpEx</f>
        <v>0</v>
      </c>
      <c r="AS48" s="9">
        <f>'Revenue Forecast'!AS7*Driver_OtherOpEx</f>
        <v>0</v>
      </c>
      <c r="AT48" s="9">
        <f>'Revenue Forecast'!AT7*Driver_OtherOpEx</f>
        <v>0</v>
      </c>
      <c r="AU48" s="9">
        <f>'Revenue Forecast'!AU7*Driver_OtherOpEx</f>
        <v>0</v>
      </c>
      <c r="AV48" s="9">
        <f>'Revenue Forecast'!AV7*Driver_OtherOpEx</f>
        <v>0</v>
      </c>
      <c r="AW48" s="9">
        <f>'Revenue Forecast'!AW7*Driver_OtherOpEx</f>
        <v>0</v>
      </c>
      <c r="AX48" s="9">
        <f>'Revenue Forecast'!AX7*Driver_OtherOpEx</f>
        <v>0</v>
      </c>
      <c r="AY48" s="9">
        <f>'Revenue Forecast'!AY7*Driver_OtherOpEx</f>
        <v>0</v>
      </c>
      <c r="AZ48" s="9">
        <f>'Revenue Forecast'!AZ7*Driver_OtherOpEx</f>
        <v>0</v>
      </c>
      <c r="BA48" s="9">
        <f>'Revenue Forecast'!BA7*Driver_OtherOpEx</f>
        <v>0</v>
      </c>
      <c r="BB48" s="9">
        <f>'Revenue Forecast'!BB7*Driver_OtherOpEx</f>
        <v>0</v>
      </c>
      <c r="BC48" s="9">
        <f>'Revenue Forecast'!BC7*Driver_OtherOpEx</f>
        <v>0</v>
      </c>
      <c r="BD48" s="9">
        <f>'Revenue Forecast'!BD7*Driver_OtherOpEx</f>
        <v>0</v>
      </c>
      <c r="BE48" s="9">
        <f>'Revenue Forecast'!BE7*Driver_OtherOpEx</f>
        <v>0</v>
      </c>
      <c r="BF48" s="9">
        <f>'Revenue Forecast'!BF7*Driver_OtherOpEx</f>
        <v>0</v>
      </c>
      <c r="BG48" s="9">
        <f>'Revenue Forecast'!BG7*Driver_OtherOpEx</f>
        <v>0</v>
      </c>
      <c r="BH48" s="9">
        <f>'Revenue Forecast'!BH7*Driver_OtherOpEx</f>
        <v>0</v>
      </c>
      <c r="BI48" s="9">
        <f>'Revenue Forecast'!BI7*Driver_OtherOpEx</f>
        <v>0</v>
      </c>
      <c r="BJ48" s="9">
        <f>'Revenue Forecast'!BJ7*Driver_OtherOpEx</f>
        <v>0</v>
      </c>
    </row>
    <row r="49" spans="1:62">
      <c r="A49" t="s">
        <v>45</v>
      </c>
      <c r="B49" t="s">
        <v>12</v>
      </c>
      <c r="C49" s="9">
        <f>'Historical Data'!C43</f>
        <v>0</v>
      </c>
      <c r="D49" s="9">
        <f>'Historical Data'!D43</f>
        <v>0</v>
      </c>
      <c r="E49" s="9">
        <f>'Historical Data'!E43</f>
        <v>0</v>
      </c>
      <c r="F49" s="9">
        <f>'Historical Data'!F43</f>
        <v>0</v>
      </c>
      <c r="G49" s="9">
        <f>'Historical Data'!G43</f>
        <v>0</v>
      </c>
      <c r="H49" s="9">
        <f>'Historical Data'!H43</f>
        <v>0</v>
      </c>
      <c r="I49" s="9">
        <f>'Historical Data'!I43</f>
        <v>0</v>
      </c>
      <c r="J49" s="9">
        <f>'Historical Data'!J43</f>
        <v>0</v>
      </c>
      <c r="K49" s="9">
        <f>'Historical Data'!K43</f>
        <v>0</v>
      </c>
      <c r="L49" s="9">
        <f>'Historical Data'!L43</f>
        <v>0</v>
      </c>
      <c r="M49" s="9">
        <f>'Historical Data'!M43</f>
        <v>0</v>
      </c>
      <c r="N49" s="9">
        <f>'Historical Data'!N43</f>
        <v>0</v>
      </c>
      <c r="O49" s="9">
        <f>'Historical Data'!O43</f>
        <v>0</v>
      </c>
      <c r="P49" s="9">
        <f>'Historical Data'!P43</f>
        <v>0</v>
      </c>
      <c r="Q49" s="9">
        <f>'Historical Data'!Q43</f>
        <v>0</v>
      </c>
      <c r="R49" s="9">
        <f>'Historical Data'!R43</f>
        <v>0</v>
      </c>
      <c r="S49" s="9">
        <f>'Historical Data'!S43</f>
        <v>0</v>
      </c>
      <c r="T49" s="9">
        <f>'Historical Data'!T43</f>
        <v>0</v>
      </c>
      <c r="U49" s="9">
        <f>'Historical Data'!U43</f>
        <v>0</v>
      </c>
      <c r="V49" s="9">
        <f>'Historical Data'!V43</f>
        <v>0</v>
      </c>
      <c r="W49" s="9">
        <f>'Historical Data'!W43</f>
        <v>0</v>
      </c>
      <c r="X49" s="9">
        <f>'Historical Data'!X43</f>
        <v>0</v>
      </c>
      <c r="Y49" s="9">
        <f>'Historical Data'!Y43</f>
        <v>0</v>
      </c>
      <c r="Z49" s="9">
        <f>'Historical Data'!Z43</f>
        <v>0</v>
      </c>
      <c r="AA49" s="9">
        <f>'Historical Data'!AA43</f>
        <v>0</v>
      </c>
      <c r="AB49" s="9">
        <f>'Historical Data'!AB43</f>
        <v>0</v>
      </c>
      <c r="AC49" s="9">
        <f>'Historical Data'!AC43</f>
        <v>0</v>
      </c>
      <c r="AD49" s="9">
        <f>'Historical Data'!AD43</f>
        <v>0</v>
      </c>
      <c r="AE49" s="9">
        <f>'Historical Data'!AE43</f>
        <v>0</v>
      </c>
      <c r="AF49" s="9">
        <f>'Historical Data'!AF43</f>
        <v>0</v>
      </c>
      <c r="AG49" s="9">
        <f>'Historical Data'!AG43</f>
        <v>0</v>
      </c>
      <c r="AH49" s="9">
        <f>'Historical Data'!AH43</f>
        <v>0</v>
      </c>
      <c r="AI49" s="9">
        <f>'Historical Data'!AI43</f>
        <v>0</v>
      </c>
      <c r="AJ49" s="9">
        <f>'Historical Data'!AJ43</f>
        <v>0</v>
      </c>
      <c r="AK49" s="9">
        <f>'Historical Data'!AK43</f>
        <v>0</v>
      </c>
      <c r="AL49" s="9">
        <f>'Historical Data'!AL43</f>
        <v>0</v>
      </c>
      <c r="AM49" s="9">
        <f>'Revenue Forecast'!AM8*Driver_OtherOpEx</f>
        <v>0</v>
      </c>
      <c r="AN49" s="9">
        <f>'Revenue Forecast'!AN8*Driver_OtherOpEx</f>
        <v>0</v>
      </c>
      <c r="AO49" s="9">
        <f>'Revenue Forecast'!AO8*Driver_OtherOpEx</f>
        <v>0</v>
      </c>
      <c r="AP49" s="9">
        <f>'Revenue Forecast'!AP8*Driver_OtherOpEx</f>
        <v>0</v>
      </c>
      <c r="AQ49" s="9">
        <f>'Revenue Forecast'!AQ8*Driver_OtherOpEx</f>
        <v>0</v>
      </c>
      <c r="AR49" s="9">
        <f>'Revenue Forecast'!AR8*Driver_OtherOpEx</f>
        <v>0</v>
      </c>
      <c r="AS49" s="9">
        <f>'Revenue Forecast'!AS8*Driver_OtherOpEx</f>
        <v>0</v>
      </c>
      <c r="AT49" s="9">
        <f>'Revenue Forecast'!AT8*Driver_OtherOpEx</f>
        <v>0</v>
      </c>
      <c r="AU49" s="9">
        <f>'Revenue Forecast'!AU8*Driver_OtherOpEx</f>
        <v>0</v>
      </c>
      <c r="AV49" s="9">
        <f>'Revenue Forecast'!AV8*Driver_OtherOpEx</f>
        <v>0</v>
      </c>
      <c r="AW49" s="9">
        <f>'Revenue Forecast'!AW8*Driver_OtherOpEx</f>
        <v>0</v>
      </c>
      <c r="AX49" s="9">
        <f>'Revenue Forecast'!AX8*Driver_OtherOpEx</f>
        <v>0</v>
      </c>
      <c r="AY49" s="9">
        <f>'Revenue Forecast'!AY8*Driver_OtherOpEx</f>
        <v>0</v>
      </c>
      <c r="AZ49" s="9">
        <f>'Revenue Forecast'!AZ8*Driver_OtherOpEx</f>
        <v>0</v>
      </c>
      <c r="BA49" s="9">
        <f>'Revenue Forecast'!BA8*Driver_OtherOpEx</f>
        <v>0</v>
      </c>
      <c r="BB49" s="9">
        <f>'Revenue Forecast'!BB8*Driver_OtherOpEx</f>
        <v>0</v>
      </c>
      <c r="BC49" s="9">
        <f>'Revenue Forecast'!BC8*Driver_OtherOpEx</f>
        <v>0</v>
      </c>
      <c r="BD49" s="9">
        <f>'Revenue Forecast'!BD8*Driver_OtherOpEx</f>
        <v>0</v>
      </c>
      <c r="BE49" s="9">
        <f>'Revenue Forecast'!BE8*Driver_OtherOpEx</f>
        <v>0</v>
      </c>
      <c r="BF49" s="9">
        <f>'Revenue Forecast'!BF8*Driver_OtherOpEx</f>
        <v>0</v>
      </c>
      <c r="BG49" s="9">
        <f>'Revenue Forecast'!BG8*Driver_OtherOpEx</f>
        <v>0</v>
      </c>
      <c r="BH49" s="9">
        <f>'Revenue Forecast'!BH8*Driver_OtherOpEx</f>
        <v>0</v>
      </c>
      <c r="BI49" s="9">
        <f>'Revenue Forecast'!BI8*Driver_OtherOpEx</f>
        <v>0</v>
      </c>
      <c r="BJ49" s="9">
        <f>'Revenue Forecast'!BJ8*Driver_OtherOpEx</f>
        <v>0</v>
      </c>
    </row>
    <row r="50" spans="1:62">
      <c r="A50" s="10" t="s">
        <v>58</v>
      </c>
      <c r="C50" s="10">
        <f>SUM(C45:C49)</f>
        <v>0</v>
      </c>
      <c r="D50" s="10">
        <f>SUM(D45:D49)</f>
        <v>0</v>
      </c>
      <c r="E50" s="10">
        <f>SUM(E45:E49)</f>
        <v>0</v>
      </c>
      <c r="F50" s="10">
        <f>SUM(F45:F49)</f>
        <v>0</v>
      </c>
      <c r="G50" s="10">
        <f>SUM(G45:G49)</f>
        <v>0</v>
      </c>
      <c r="H50" s="10">
        <f>SUM(H45:H49)</f>
        <v>0</v>
      </c>
      <c r="I50" s="10">
        <f>SUM(I45:I49)</f>
        <v>0</v>
      </c>
      <c r="J50" s="10">
        <f>SUM(J45:J49)</f>
        <v>0</v>
      </c>
      <c r="K50" s="10">
        <f>SUM(K45:K49)</f>
        <v>0</v>
      </c>
      <c r="L50" s="10">
        <f>SUM(L45:L49)</f>
        <v>0</v>
      </c>
      <c r="M50" s="10">
        <f>SUM(M45:M49)</f>
        <v>0</v>
      </c>
      <c r="N50" s="10">
        <f>SUM(N45:N49)</f>
        <v>0</v>
      </c>
      <c r="O50" s="10">
        <f>SUM(O45:O49)</f>
        <v>0</v>
      </c>
      <c r="P50" s="10">
        <f>SUM(P45:P49)</f>
        <v>0</v>
      </c>
      <c r="Q50" s="10">
        <f>SUM(Q45:Q49)</f>
        <v>0</v>
      </c>
      <c r="R50" s="10">
        <f>SUM(R45:R49)</f>
        <v>0</v>
      </c>
      <c r="S50" s="10">
        <f>SUM(S45:S49)</f>
        <v>0</v>
      </c>
      <c r="T50" s="10">
        <f>SUM(T45:T49)</f>
        <v>0</v>
      </c>
      <c r="U50" s="10">
        <f>SUM(U45:U49)</f>
        <v>0</v>
      </c>
      <c r="V50" s="10">
        <f>SUM(V45:V49)</f>
        <v>0</v>
      </c>
      <c r="W50" s="10">
        <f>SUM(W45:W49)</f>
        <v>0</v>
      </c>
      <c r="X50" s="10">
        <f>SUM(X45:X49)</f>
        <v>0</v>
      </c>
      <c r="Y50" s="10">
        <f>SUM(Y45:Y49)</f>
        <v>0</v>
      </c>
      <c r="Z50" s="10">
        <f>SUM(Z45:Z49)</f>
        <v>0</v>
      </c>
      <c r="AA50" s="10">
        <f>SUM(AA45:AA49)</f>
        <v>0</v>
      </c>
      <c r="AB50" s="10">
        <f>SUM(AB45:AB49)</f>
        <v>0</v>
      </c>
      <c r="AC50" s="10">
        <f>SUM(AC45:AC49)</f>
        <v>0</v>
      </c>
      <c r="AD50" s="10">
        <f>SUM(AD45:AD49)</f>
        <v>0</v>
      </c>
      <c r="AE50" s="10">
        <f>SUM(AE45:AE49)</f>
        <v>0</v>
      </c>
      <c r="AF50" s="10">
        <f>SUM(AF45:AF49)</f>
        <v>0</v>
      </c>
      <c r="AG50" s="10">
        <f>SUM(AG45:AG49)</f>
        <v>0</v>
      </c>
      <c r="AH50" s="10">
        <f>SUM(AH45:AH49)</f>
        <v>0</v>
      </c>
      <c r="AI50" s="10">
        <f>SUM(AI45:AI49)</f>
        <v>0</v>
      </c>
      <c r="AJ50" s="10">
        <f>SUM(AJ45:AJ49)</f>
        <v>0</v>
      </c>
      <c r="AK50" s="10">
        <f>SUM(AK45:AK49)</f>
        <v>0</v>
      </c>
      <c r="AL50" s="10">
        <f>SUM(AL45:AL49)</f>
        <v>0</v>
      </c>
      <c r="AM50" s="10">
        <f>SUM(AM45:AM49)</f>
        <v>0</v>
      </c>
      <c r="AN50" s="10">
        <f>SUM(AN45:AN49)</f>
        <v>0</v>
      </c>
      <c r="AO50" s="10">
        <f>SUM(AO45:AO49)</f>
        <v>0</v>
      </c>
      <c r="AP50" s="10">
        <f>SUM(AP45:AP49)</f>
        <v>0</v>
      </c>
      <c r="AQ50" s="10">
        <f>SUM(AQ45:AQ49)</f>
        <v>0</v>
      </c>
      <c r="AR50" s="10">
        <f>SUM(AR45:AR49)</f>
        <v>0</v>
      </c>
      <c r="AS50" s="10">
        <f>SUM(AS45:AS49)</f>
        <v>0</v>
      </c>
      <c r="AT50" s="10">
        <f>SUM(AT45:AT49)</f>
        <v>0</v>
      </c>
      <c r="AU50" s="10">
        <f>SUM(AU45:AU49)</f>
        <v>0</v>
      </c>
      <c r="AV50" s="10">
        <f>SUM(AV45:AV49)</f>
        <v>0</v>
      </c>
      <c r="AW50" s="10">
        <f>SUM(AW45:AW49)</f>
        <v>0</v>
      </c>
      <c r="AX50" s="10">
        <f>SUM(AX45:AX49)</f>
        <v>0</v>
      </c>
      <c r="AY50" s="10">
        <f>SUM(AY45:AY49)</f>
        <v>0</v>
      </c>
      <c r="AZ50" s="10">
        <f>SUM(AZ45:AZ49)</f>
        <v>0</v>
      </c>
      <c r="BA50" s="10">
        <f>SUM(BA45:BA49)</f>
        <v>0</v>
      </c>
      <c r="BB50" s="10">
        <f>SUM(BB45:BB49)</f>
        <v>0</v>
      </c>
      <c r="BC50" s="10">
        <f>SUM(BC45:BC49)</f>
        <v>0</v>
      </c>
      <c r="BD50" s="10">
        <f>SUM(BD45:BD49)</f>
        <v>0</v>
      </c>
      <c r="BE50" s="10">
        <f>SUM(BE45:BE49)</f>
        <v>0</v>
      </c>
      <c r="BF50" s="10">
        <f>SUM(BF45:BF49)</f>
        <v>0</v>
      </c>
      <c r="BG50" s="10">
        <f>SUM(BG45:BG49)</f>
        <v>0</v>
      </c>
      <c r="BH50" s="10">
        <f>SUM(BH45:BH49)</f>
        <v>0</v>
      </c>
      <c r="BI50" s="10">
        <f>SUM(BI45:BI49)</f>
        <v>0</v>
      </c>
      <c r="BJ50" s="10">
        <f>SUM(BJ45:BJ49)</f>
        <v>0</v>
      </c>
    </row>
    <row r="52" spans="1:62">
      <c r="A52" s="10" t="s">
        <v>59</v>
      </c>
      <c r="C52" s="10">
        <f>SUM(C10,C18,C26,C34,C42,C50)</f>
        <v>0</v>
      </c>
      <c r="D52" s="10">
        <f>SUM(D10,D18,D26,D34,D42,D50)</f>
        <v>0</v>
      </c>
      <c r="E52" s="10">
        <f>SUM(E10,E18,E26,E34,E42,E50)</f>
        <v>0</v>
      </c>
      <c r="F52" s="10">
        <f>SUM(F10,F18,F26,F34,F42,F50)</f>
        <v>0</v>
      </c>
      <c r="G52" s="10">
        <f>SUM(G10,G18,G26,G34,G42,G50)</f>
        <v>0</v>
      </c>
      <c r="H52" s="10">
        <f>SUM(H10,H18,H26,H34,H42,H50)</f>
        <v>0</v>
      </c>
      <c r="I52" s="10">
        <f>SUM(I10,I18,I26,I34,I42,I50)</f>
        <v>0</v>
      </c>
      <c r="J52" s="10">
        <f>SUM(J10,J18,J26,J34,J42,J50)</f>
        <v>0</v>
      </c>
      <c r="K52" s="10">
        <f>SUM(K10,K18,K26,K34,K42,K50)</f>
        <v>0</v>
      </c>
      <c r="L52" s="10">
        <f>SUM(L10,L18,L26,L34,L42,L50)</f>
        <v>0</v>
      </c>
      <c r="M52" s="10">
        <f>SUM(M10,M18,M26,M34,M42,M50)</f>
        <v>0</v>
      </c>
      <c r="N52" s="10">
        <f>SUM(N10,N18,N26,N34,N42,N50)</f>
        <v>0</v>
      </c>
      <c r="O52" s="10">
        <f>SUM(O10,O18,O26,O34,O42,O50)</f>
        <v>0</v>
      </c>
      <c r="P52" s="10">
        <f>SUM(P10,P18,P26,P34,P42,P50)</f>
        <v>0</v>
      </c>
      <c r="Q52" s="10">
        <f>SUM(Q10,Q18,Q26,Q34,Q42,Q50)</f>
        <v>0</v>
      </c>
      <c r="R52" s="10">
        <f>SUM(R10,R18,R26,R34,R42,R50)</f>
        <v>0</v>
      </c>
      <c r="S52" s="10">
        <f>SUM(S10,S18,S26,S34,S42,S50)</f>
        <v>0</v>
      </c>
      <c r="T52" s="10">
        <f>SUM(T10,T18,T26,T34,T42,T50)</f>
        <v>0</v>
      </c>
      <c r="U52" s="10">
        <f>SUM(U10,U18,U26,U34,U42,U50)</f>
        <v>0</v>
      </c>
      <c r="V52" s="10">
        <f>SUM(V10,V18,V26,V34,V42,V50)</f>
        <v>0</v>
      </c>
      <c r="W52" s="10">
        <f>SUM(W10,W18,W26,W34,W42,W50)</f>
        <v>0</v>
      </c>
      <c r="X52" s="10">
        <f>SUM(X10,X18,X26,X34,X42,X50)</f>
        <v>0</v>
      </c>
      <c r="Y52" s="10">
        <f>SUM(Y10,Y18,Y26,Y34,Y42,Y50)</f>
        <v>0</v>
      </c>
      <c r="Z52" s="10">
        <f>SUM(Z10,Z18,Z26,Z34,Z42,Z50)</f>
        <v>0</v>
      </c>
      <c r="AA52" s="10">
        <f>SUM(AA10,AA18,AA26,AA34,AA42,AA50)</f>
        <v>0</v>
      </c>
      <c r="AB52" s="10">
        <f>SUM(AB10,AB18,AB26,AB34,AB42,AB50)</f>
        <v>0</v>
      </c>
      <c r="AC52" s="10">
        <f>SUM(AC10,AC18,AC26,AC34,AC42,AC50)</f>
        <v>0</v>
      </c>
      <c r="AD52" s="10">
        <f>SUM(AD10,AD18,AD26,AD34,AD42,AD50)</f>
        <v>0</v>
      </c>
      <c r="AE52" s="10">
        <f>SUM(AE10,AE18,AE26,AE34,AE42,AE50)</f>
        <v>0</v>
      </c>
      <c r="AF52" s="10">
        <f>SUM(AF10,AF18,AF26,AF34,AF42,AF50)</f>
        <v>0</v>
      </c>
      <c r="AG52" s="10">
        <f>SUM(AG10,AG18,AG26,AG34,AG42,AG50)</f>
        <v>0</v>
      </c>
      <c r="AH52" s="10">
        <f>SUM(AH10,AH18,AH26,AH34,AH42,AH50)</f>
        <v>0</v>
      </c>
      <c r="AI52" s="10">
        <f>SUM(AI10,AI18,AI26,AI34,AI42,AI50)</f>
        <v>0</v>
      </c>
      <c r="AJ52" s="10">
        <f>SUM(AJ10,AJ18,AJ26,AJ34,AJ42,AJ50)</f>
        <v>0</v>
      </c>
      <c r="AK52" s="10">
        <f>SUM(AK10,AK18,AK26,AK34,AK42,AK50)</f>
        <v>0</v>
      </c>
      <c r="AL52" s="10">
        <f>SUM(AL10,AL18,AL26,AL34,AL42,AL50)</f>
        <v>0</v>
      </c>
      <c r="AM52" s="10">
        <f>SUM(AM10,AM18,AM26,AM34,AM42,AM50)</f>
        <v>0</v>
      </c>
      <c r="AN52" s="10">
        <f>SUM(AN10,AN18,AN26,AN34,AN42,AN50)</f>
        <v>0</v>
      </c>
      <c r="AO52" s="10">
        <f>SUM(AO10,AO18,AO26,AO34,AO42,AO50)</f>
        <v>0</v>
      </c>
      <c r="AP52" s="10">
        <f>SUM(AP10,AP18,AP26,AP34,AP42,AP50)</f>
        <v>0</v>
      </c>
      <c r="AQ52" s="10">
        <f>SUM(AQ10,AQ18,AQ26,AQ34,AQ42,AQ50)</f>
        <v>0</v>
      </c>
      <c r="AR52" s="10">
        <f>SUM(AR10,AR18,AR26,AR34,AR42,AR50)</f>
        <v>0</v>
      </c>
      <c r="AS52" s="10">
        <f>SUM(AS10,AS18,AS26,AS34,AS42,AS50)</f>
        <v>0</v>
      </c>
      <c r="AT52" s="10">
        <f>SUM(AT10,AT18,AT26,AT34,AT42,AT50)</f>
        <v>0</v>
      </c>
      <c r="AU52" s="10">
        <f>SUM(AU10,AU18,AU26,AU34,AU42,AU50)</f>
        <v>0</v>
      </c>
      <c r="AV52" s="10">
        <f>SUM(AV10,AV18,AV26,AV34,AV42,AV50)</f>
        <v>0</v>
      </c>
      <c r="AW52" s="10">
        <f>SUM(AW10,AW18,AW26,AW34,AW42,AW50)</f>
        <v>0</v>
      </c>
      <c r="AX52" s="10">
        <f>SUM(AX10,AX18,AX26,AX34,AX42,AX50)</f>
        <v>0</v>
      </c>
      <c r="AY52" s="10">
        <f>SUM(AY10,AY18,AY26,AY34,AY42,AY50)</f>
        <v>0</v>
      </c>
      <c r="AZ52" s="10">
        <f>SUM(AZ10,AZ18,AZ26,AZ34,AZ42,AZ50)</f>
        <v>0</v>
      </c>
      <c r="BA52" s="10">
        <f>SUM(BA10,BA18,BA26,BA34,BA42,BA50)</f>
        <v>0</v>
      </c>
      <c r="BB52" s="10">
        <f>SUM(BB10,BB18,BB26,BB34,BB42,BB50)</f>
        <v>0</v>
      </c>
      <c r="BC52" s="10">
        <f>SUM(BC10,BC18,BC26,BC34,BC42,BC50)</f>
        <v>0</v>
      </c>
      <c r="BD52" s="10">
        <f>SUM(BD10,BD18,BD26,BD34,BD42,BD50)</f>
        <v>0</v>
      </c>
      <c r="BE52" s="10">
        <f>SUM(BE10,BE18,BE26,BE34,BE42,BE50)</f>
        <v>0</v>
      </c>
      <c r="BF52" s="10">
        <f>SUM(BF10,BF18,BF26,BF34,BF42,BF50)</f>
        <v>0</v>
      </c>
      <c r="BG52" s="10">
        <f>SUM(BG10,BG18,BG26,BG34,BG42,BG50)</f>
        <v>0</v>
      </c>
      <c r="BH52" s="10">
        <f>SUM(BH10,BH18,BH26,BH34,BH42,BH50)</f>
        <v>0</v>
      </c>
      <c r="BI52" s="10">
        <f>SUM(BI10,BI18,BI26,BI34,BI42,BI50)</f>
        <v>0</v>
      </c>
      <c r="BJ52" s="10">
        <f>SUM(BJ10,BJ18,BJ26,BJ34,BJ42,BJ50)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1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0.7109375" customWidth="1"/>
    <col min="2" max="54" width="15.7109375" customWidth="1"/>
  </cols>
  <sheetData>
    <row r="1" spans="1:61">
      <c r="A1" s="1" t="s">
        <v>60</v>
      </c>
    </row>
    <row r="2" spans="1:61">
      <c r="B2" s="6">
        <v>44197</v>
      </c>
      <c r="C2" s="6">
        <v>44228</v>
      </c>
      <c r="D2" s="6">
        <v>44256</v>
      </c>
      <c r="E2" s="6">
        <v>44287</v>
      </c>
      <c r="F2" s="6">
        <v>44317</v>
      </c>
      <c r="G2" s="6">
        <v>44348</v>
      </c>
      <c r="H2" s="6">
        <v>44378</v>
      </c>
      <c r="I2" s="6">
        <v>44409</v>
      </c>
      <c r="J2" s="6">
        <v>44440</v>
      </c>
      <c r="K2" s="6">
        <v>44470</v>
      </c>
      <c r="L2" s="6">
        <v>44501</v>
      </c>
      <c r="M2" s="6">
        <v>44531</v>
      </c>
      <c r="N2" s="6">
        <v>44562</v>
      </c>
      <c r="O2" s="6">
        <v>44593</v>
      </c>
      <c r="P2" s="6">
        <v>44621</v>
      </c>
      <c r="Q2" s="6">
        <v>44652</v>
      </c>
      <c r="R2" s="6">
        <v>44682</v>
      </c>
      <c r="S2" s="6">
        <v>44713</v>
      </c>
      <c r="T2" s="6">
        <v>44743</v>
      </c>
      <c r="U2" s="6">
        <v>44774</v>
      </c>
      <c r="V2" s="6">
        <v>44805</v>
      </c>
      <c r="W2" s="6">
        <v>44835</v>
      </c>
      <c r="X2" s="6">
        <v>44866</v>
      </c>
      <c r="Y2" s="6">
        <v>44896</v>
      </c>
      <c r="Z2" s="6">
        <v>44927</v>
      </c>
      <c r="AA2" s="6">
        <v>44958</v>
      </c>
      <c r="AB2" s="6">
        <v>44986</v>
      </c>
      <c r="AC2" s="6">
        <v>45017</v>
      </c>
      <c r="AD2" s="6">
        <v>45047</v>
      </c>
      <c r="AE2" s="6">
        <v>45078</v>
      </c>
      <c r="AF2" s="6">
        <v>45108</v>
      </c>
      <c r="AG2" s="6">
        <v>45139</v>
      </c>
      <c r="AH2" s="6">
        <v>45170</v>
      </c>
      <c r="AI2" s="6">
        <v>45200</v>
      </c>
      <c r="AJ2" s="6">
        <v>45231</v>
      </c>
      <c r="AK2" s="6">
        <v>45261</v>
      </c>
      <c r="AL2" s="6">
        <v>45292</v>
      </c>
      <c r="AM2" s="6">
        <v>45323</v>
      </c>
      <c r="AN2" s="6">
        <v>45352</v>
      </c>
      <c r="AO2" s="6">
        <v>45383</v>
      </c>
      <c r="AP2" s="6">
        <v>45413</v>
      </c>
      <c r="AQ2" s="6">
        <v>45444</v>
      </c>
      <c r="AR2" s="6">
        <v>45474</v>
      </c>
      <c r="AS2" s="6">
        <v>45505</v>
      </c>
      <c r="AT2" s="6">
        <v>45536</v>
      </c>
      <c r="AU2" s="6">
        <v>45566</v>
      </c>
      <c r="AV2" s="6">
        <v>45597</v>
      </c>
      <c r="AW2" s="6">
        <v>45627</v>
      </c>
      <c r="AX2" s="6">
        <v>45658</v>
      </c>
      <c r="AY2" s="6">
        <v>45689</v>
      </c>
      <c r="AZ2" s="6">
        <v>45717</v>
      </c>
      <c r="BA2" s="6">
        <v>45748</v>
      </c>
      <c r="BB2" s="6">
        <v>45778</v>
      </c>
      <c r="BC2" s="6">
        <v>45809</v>
      </c>
      <c r="BD2" s="6">
        <v>45839</v>
      </c>
      <c r="BE2" s="6">
        <v>45870</v>
      </c>
      <c r="BF2" s="6">
        <v>45901</v>
      </c>
      <c r="BG2" s="6">
        <v>45931</v>
      </c>
      <c r="BH2" s="6">
        <v>45962</v>
      </c>
      <c r="BI2" s="6">
        <v>45992</v>
      </c>
    </row>
    <row r="3" spans="1:61">
      <c r="B3" s="7" t="s">
        <v>36</v>
      </c>
      <c r="C3" s="7" t="s">
        <v>36</v>
      </c>
      <c r="D3" s="7" t="s">
        <v>36</v>
      </c>
      <c r="E3" s="7" t="s">
        <v>36</v>
      </c>
      <c r="F3" s="7" t="s">
        <v>36</v>
      </c>
      <c r="G3" s="7" t="s">
        <v>36</v>
      </c>
      <c r="H3" s="7" t="s">
        <v>36</v>
      </c>
      <c r="I3" s="7" t="s">
        <v>36</v>
      </c>
      <c r="J3" s="7" t="s">
        <v>36</v>
      </c>
      <c r="K3" s="7" t="s">
        <v>36</v>
      </c>
      <c r="L3" s="7" t="s">
        <v>36</v>
      </c>
      <c r="M3" s="7" t="s">
        <v>36</v>
      </c>
      <c r="N3" s="7" t="s">
        <v>36</v>
      </c>
      <c r="O3" s="7" t="s">
        <v>36</v>
      </c>
      <c r="P3" s="7" t="s">
        <v>36</v>
      </c>
      <c r="Q3" s="7" t="s">
        <v>36</v>
      </c>
      <c r="R3" s="7" t="s">
        <v>36</v>
      </c>
      <c r="S3" s="7" t="s">
        <v>36</v>
      </c>
      <c r="T3" s="7" t="s">
        <v>36</v>
      </c>
      <c r="U3" s="7" t="s">
        <v>36</v>
      </c>
      <c r="V3" s="7" t="s">
        <v>36</v>
      </c>
      <c r="W3" s="7" t="s">
        <v>36</v>
      </c>
      <c r="X3" s="7" t="s">
        <v>36</v>
      </c>
      <c r="Y3" s="7" t="s">
        <v>36</v>
      </c>
      <c r="Z3" s="7" t="s">
        <v>36</v>
      </c>
      <c r="AA3" s="7" t="s">
        <v>36</v>
      </c>
      <c r="AB3" s="7" t="s">
        <v>36</v>
      </c>
      <c r="AC3" s="7" t="s">
        <v>36</v>
      </c>
      <c r="AD3" s="7" t="s">
        <v>36</v>
      </c>
      <c r="AE3" s="7" t="s">
        <v>36</v>
      </c>
      <c r="AF3" s="7" t="s">
        <v>36</v>
      </c>
      <c r="AG3" s="7" t="s">
        <v>36</v>
      </c>
      <c r="AH3" s="7" t="s">
        <v>36</v>
      </c>
      <c r="AI3" s="7" t="s">
        <v>36</v>
      </c>
      <c r="AJ3" s="7" t="s">
        <v>36</v>
      </c>
      <c r="AK3" s="7" t="s">
        <v>36</v>
      </c>
      <c r="AL3" s="7" t="s">
        <v>37</v>
      </c>
      <c r="AM3" s="7" t="s">
        <v>37</v>
      </c>
      <c r="AN3" s="7" t="s">
        <v>37</v>
      </c>
      <c r="AO3" s="7" t="s">
        <v>37</v>
      </c>
      <c r="AP3" s="7" t="s">
        <v>37</v>
      </c>
      <c r="AQ3" s="7" t="s">
        <v>37</v>
      </c>
      <c r="AR3" s="7" t="s">
        <v>37</v>
      </c>
      <c r="AS3" s="7" t="s">
        <v>37</v>
      </c>
      <c r="AT3" s="7" t="s">
        <v>37</v>
      </c>
      <c r="AU3" s="7" t="s">
        <v>37</v>
      </c>
      <c r="AV3" s="7" t="s">
        <v>37</v>
      </c>
      <c r="AW3" s="7" t="s">
        <v>37</v>
      </c>
      <c r="AX3" s="7" t="s">
        <v>37</v>
      </c>
      <c r="AY3" s="7" t="s">
        <v>37</v>
      </c>
      <c r="AZ3" s="7" t="s">
        <v>37</v>
      </c>
      <c r="BA3" s="7" t="s">
        <v>37</v>
      </c>
      <c r="BB3" s="7" t="s">
        <v>37</v>
      </c>
      <c r="BC3" s="7" t="s">
        <v>37</v>
      </c>
      <c r="BD3" s="7" t="s">
        <v>37</v>
      </c>
      <c r="BE3" s="7" t="s">
        <v>37</v>
      </c>
      <c r="BF3" s="7" t="s">
        <v>37</v>
      </c>
      <c r="BG3" s="7" t="s">
        <v>37</v>
      </c>
      <c r="BH3" s="7" t="s">
        <v>37</v>
      </c>
      <c r="BI3" s="7" t="s">
        <v>37</v>
      </c>
    </row>
    <row r="4" spans="1:61">
      <c r="A4" t="s">
        <v>61</v>
      </c>
      <c r="B4" s="9">
        <f>'Revenue Forecast'!C9</f>
        <v>0</v>
      </c>
      <c r="C4" s="9">
        <f>'Revenue Forecast'!D9</f>
        <v>0</v>
      </c>
      <c r="D4" s="9">
        <f>'Revenue Forecast'!E9</f>
        <v>0</v>
      </c>
      <c r="E4" s="9">
        <f>'Revenue Forecast'!F9</f>
        <v>0</v>
      </c>
      <c r="F4" s="9">
        <f>'Revenue Forecast'!G9</f>
        <v>0</v>
      </c>
      <c r="G4" s="9">
        <f>'Revenue Forecast'!H9</f>
        <v>0</v>
      </c>
      <c r="H4" s="9">
        <f>'Revenue Forecast'!I9</f>
        <v>0</v>
      </c>
      <c r="I4" s="9">
        <f>'Revenue Forecast'!J9</f>
        <v>0</v>
      </c>
      <c r="J4" s="9">
        <f>'Revenue Forecast'!K9</f>
        <v>0</v>
      </c>
      <c r="K4" s="9">
        <f>'Revenue Forecast'!L9</f>
        <v>0</v>
      </c>
      <c r="L4" s="9">
        <f>'Revenue Forecast'!M9</f>
        <v>0</v>
      </c>
      <c r="M4" s="9">
        <f>'Revenue Forecast'!N9</f>
        <v>0</v>
      </c>
      <c r="N4" s="9">
        <f>'Revenue Forecast'!O9</f>
        <v>0</v>
      </c>
      <c r="O4" s="9">
        <f>'Revenue Forecast'!P9</f>
        <v>0</v>
      </c>
      <c r="P4" s="9">
        <f>'Revenue Forecast'!Q9</f>
        <v>0</v>
      </c>
      <c r="Q4" s="9">
        <f>'Revenue Forecast'!R9</f>
        <v>0</v>
      </c>
      <c r="R4" s="9">
        <f>'Revenue Forecast'!S9</f>
        <v>0</v>
      </c>
      <c r="S4" s="9">
        <f>'Revenue Forecast'!T9</f>
        <v>0</v>
      </c>
      <c r="T4" s="9">
        <f>'Revenue Forecast'!U9</f>
        <v>0</v>
      </c>
      <c r="U4" s="9">
        <f>'Revenue Forecast'!V9</f>
        <v>0</v>
      </c>
      <c r="V4" s="9">
        <f>'Revenue Forecast'!W9</f>
        <v>0</v>
      </c>
      <c r="W4" s="9">
        <f>'Revenue Forecast'!X9</f>
        <v>0</v>
      </c>
      <c r="X4" s="9">
        <f>'Revenue Forecast'!Y9</f>
        <v>0</v>
      </c>
      <c r="Y4" s="9">
        <f>'Revenue Forecast'!Z9</f>
        <v>0</v>
      </c>
      <c r="Z4" s="9">
        <f>'Revenue Forecast'!AA9</f>
        <v>0</v>
      </c>
      <c r="AA4" s="9">
        <f>'Revenue Forecast'!AB9</f>
        <v>0</v>
      </c>
      <c r="AB4" s="9">
        <f>'Revenue Forecast'!AC9</f>
        <v>0</v>
      </c>
      <c r="AC4" s="9">
        <f>'Revenue Forecast'!AD9</f>
        <v>0</v>
      </c>
      <c r="AD4" s="9">
        <f>'Revenue Forecast'!AE9</f>
        <v>0</v>
      </c>
      <c r="AE4" s="9">
        <f>'Revenue Forecast'!AF9</f>
        <v>0</v>
      </c>
      <c r="AF4" s="9">
        <f>'Revenue Forecast'!AG9</f>
        <v>0</v>
      </c>
      <c r="AG4" s="9">
        <f>'Revenue Forecast'!AH9</f>
        <v>0</v>
      </c>
      <c r="AH4" s="9">
        <f>'Revenue Forecast'!AI9</f>
        <v>0</v>
      </c>
      <c r="AI4" s="9">
        <f>'Revenue Forecast'!AJ9</f>
        <v>0</v>
      </c>
      <c r="AJ4" s="9">
        <f>'Revenue Forecast'!AK9</f>
        <v>0</v>
      </c>
      <c r="AK4" s="9">
        <f>'Revenue Forecast'!AL9</f>
        <v>0</v>
      </c>
      <c r="AL4" s="9">
        <f>'Revenue Forecast'!AM9</f>
        <v>0</v>
      </c>
      <c r="AM4" s="9">
        <f>'Revenue Forecast'!AN9</f>
        <v>0</v>
      </c>
      <c r="AN4" s="9">
        <f>'Revenue Forecast'!AO9</f>
        <v>0</v>
      </c>
      <c r="AO4" s="9">
        <f>'Revenue Forecast'!AP9</f>
        <v>0</v>
      </c>
      <c r="AP4" s="9">
        <f>'Revenue Forecast'!AQ9</f>
        <v>0</v>
      </c>
      <c r="AQ4" s="9">
        <f>'Revenue Forecast'!AR9</f>
        <v>0</v>
      </c>
      <c r="AR4" s="9">
        <f>'Revenue Forecast'!AS9</f>
        <v>0</v>
      </c>
      <c r="AS4" s="9">
        <f>'Revenue Forecast'!AT9</f>
        <v>0</v>
      </c>
      <c r="AT4" s="9">
        <f>'Revenue Forecast'!AU9</f>
        <v>0</v>
      </c>
      <c r="AU4" s="9">
        <f>'Revenue Forecast'!AV9</f>
        <v>0</v>
      </c>
      <c r="AV4" s="9">
        <f>'Revenue Forecast'!AW9</f>
        <v>0</v>
      </c>
      <c r="AW4" s="9">
        <f>'Revenue Forecast'!AX9</f>
        <v>0</v>
      </c>
      <c r="AX4" s="9">
        <f>'Revenue Forecast'!AY9</f>
        <v>0</v>
      </c>
      <c r="AY4" s="9">
        <f>'Revenue Forecast'!AZ9</f>
        <v>0</v>
      </c>
      <c r="AZ4" s="9">
        <f>'Revenue Forecast'!BA9</f>
        <v>0</v>
      </c>
      <c r="BA4" s="9">
        <f>'Revenue Forecast'!BB9</f>
        <v>0</v>
      </c>
      <c r="BB4" s="9">
        <f>'Revenue Forecast'!BC9</f>
        <v>0</v>
      </c>
      <c r="BC4" s="9">
        <f>'Revenue Forecast'!BD9</f>
        <v>0</v>
      </c>
      <c r="BD4" s="9">
        <f>'Revenue Forecast'!BE9</f>
        <v>0</v>
      </c>
      <c r="BE4" s="9">
        <f>'Revenue Forecast'!BF9</f>
        <v>0</v>
      </c>
      <c r="BF4" s="9">
        <f>'Revenue Forecast'!BG9</f>
        <v>0</v>
      </c>
      <c r="BG4" s="9">
        <f>'Revenue Forecast'!BH9</f>
        <v>0</v>
      </c>
      <c r="BH4" s="9">
        <f>'Revenue Forecast'!BI9</f>
        <v>0</v>
      </c>
      <c r="BI4" s="9">
        <f>'Revenue Forecast'!BJ9</f>
        <v>0</v>
      </c>
    </row>
    <row r="5" spans="1:61">
      <c r="A5" t="s">
        <v>39</v>
      </c>
      <c r="B5" s="9">
        <f>'COGS &amp; Gross Margin'!C9</f>
        <v>0</v>
      </c>
      <c r="C5" s="9">
        <f>'COGS &amp; Gross Margin'!D9</f>
        <v>0</v>
      </c>
      <c r="D5" s="9">
        <f>'COGS &amp; Gross Margin'!E9</f>
        <v>0</v>
      </c>
      <c r="E5" s="9">
        <f>'COGS &amp; Gross Margin'!F9</f>
        <v>0</v>
      </c>
      <c r="F5" s="9">
        <f>'COGS &amp; Gross Margin'!G9</f>
        <v>0</v>
      </c>
      <c r="G5" s="9">
        <f>'COGS &amp; Gross Margin'!H9</f>
        <v>0</v>
      </c>
      <c r="H5" s="9">
        <f>'COGS &amp; Gross Margin'!I9</f>
        <v>0</v>
      </c>
      <c r="I5" s="9">
        <f>'COGS &amp; Gross Margin'!J9</f>
        <v>0</v>
      </c>
      <c r="J5" s="9">
        <f>'COGS &amp; Gross Margin'!K9</f>
        <v>0</v>
      </c>
      <c r="K5" s="9">
        <f>'COGS &amp; Gross Margin'!L9</f>
        <v>0</v>
      </c>
      <c r="L5" s="9">
        <f>'COGS &amp; Gross Margin'!M9</f>
        <v>0</v>
      </c>
      <c r="M5" s="9">
        <f>'COGS &amp; Gross Margin'!N9</f>
        <v>0</v>
      </c>
      <c r="N5" s="9">
        <f>'COGS &amp; Gross Margin'!O9</f>
        <v>0</v>
      </c>
      <c r="O5" s="9">
        <f>'COGS &amp; Gross Margin'!P9</f>
        <v>0</v>
      </c>
      <c r="P5" s="9">
        <f>'COGS &amp; Gross Margin'!Q9</f>
        <v>0</v>
      </c>
      <c r="Q5" s="9">
        <f>'COGS &amp; Gross Margin'!R9</f>
        <v>0</v>
      </c>
      <c r="R5" s="9">
        <f>'COGS &amp; Gross Margin'!S9</f>
        <v>0</v>
      </c>
      <c r="S5" s="9">
        <f>'COGS &amp; Gross Margin'!T9</f>
        <v>0</v>
      </c>
      <c r="T5" s="9">
        <f>'COGS &amp; Gross Margin'!U9</f>
        <v>0</v>
      </c>
      <c r="U5" s="9">
        <f>'COGS &amp; Gross Margin'!V9</f>
        <v>0</v>
      </c>
      <c r="V5" s="9">
        <f>'COGS &amp; Gross Margin'!W9</f>
        <v>0</v>
      </c>
      <c r="W5" s="9">
        <f>'COGS &amp; Gross Margin'!X9</f>
        <v>0</v>
      </c>
      <c r="X5" s="9">
        <f>'COGS &amp; Gross Margin'!Y9</f>
        <v>0</v>
      </c>
      <c r="Y5" s="9">
        <f>'COGS &amp; Gross Margin'!Z9</f>
        <v>0</v>
      </c>
      <c r="Z5" s="9">
        <f>'COGS &amp; Gross Margin'!AA9</f>
        <v>0</v>
      </c>
      <c r="AA5" s="9">
        <f>'COGS &amp; Gross Margin'!AB9</f>
        <v>0</v>
      </c>
      <c r="AB5" s="9">
        <f>'COGS &amp; Gross Margin'!AC9</f>
        <v>0</v>
      </c>
      <c r="AC5" s="9">
        <f>'COGS &amp; Gross Margin'!AD9</f>
        <v>0</v>
      </c>
      <c r="AD5" s="9">
        <f>'COGS &amp; Gross Margin'!AE9</f>
        <v>0</v>
      </c>
      <c r="AE5" s="9">
        <f>'COGS &amp; Gross Margin'!AF9</f>
        <v>0</v>
      </c>
      <c r="AF5" s="9">
        <f>'COGS &amp; Gross Margin'!AG9</f>
        <v>0</v>
      </c>
      <c r="AG5" s="9">
        <f>'COGS &amp; Gross Margin'!AH9</f>
        <v>0</v>
      </c>
      <c r="AH5" s="9">
        <f>'COGS &amp; Gross Margin'!AI9</f>
        <v>0</v>
      </c>
      <c r="AI5" s="9">
        <f>'COGS &amp; Gross Margin'!AJ9</f>
        <v>0</v>
      </c>
      <c r="AJ5" s="9">
        <f>'COGS &amp; Gross Margin'!AK9</f>
        <v>0</v>
      </c>
      <c r="AK5" s="9">
        <f>'COGS &amp; Gross Margin'!AL9</f>
        <v>0</v>
      </c>
      <c r="AL5" s="9">
        <f>'COGS &amp; Gross Margin'!AM9</f>
        <v>0</v>
      </c>
      <c r="AM5" s="9">
        <f>'COGS &amp; Gross Margin'!AN9</f>
        <v>0</v>
      </c>
      <c r="AN5" s="9">
        <f>'COGS &amp; Gross Margin'!AO9</f>
        <v>0</v>
      </c>
      <c r="AO5" s="9">
        <f>'COGS &amp; Gross Margin'!AP9</f>
        <v>0</v>
      </c>
      <c r="AP5" s="9">
        <f>'COGS &amp; Gross Margin'!AQ9</f>
        <v>0</v>
      </c>
      <c r="AQ5" s="9">
        <f>'COGS &amp; Gross Margin'!AR9</f>
        <v>0</v>
      </c>
      <c r="AR5" s="9">
        <f>'COGS &amp; Gross Margin'!AS9</f>
        <v>0</v>
      </c>
      <c r="AS5" s="9">
        <f>'COGS &amp; Gross Margin'!AT9</f>
        <v>0</v>
      </c>
      <c r="AT5" s="9">
        <f>'COGS &amp; Gross Margin'!AU9</f>
        <v>0</v>
      </c>
      <c r="AU5" s="9">
        <f>'COGS &amp; Gross Margin'!AV9</f>
        <v>0</v>
      </c>
      <c r="AV5" s="9">
        <f>'COGS &amp; Gross Margin'!AW9</f>
        <v>0</v>
      </c>
      <c r="AW5" s="9">
        <f>'COGS &amp; Gross Margin'!AX9</f>
        <v>0</v>
      </c>
      <c r="AX5" s="9">
        <f>'COGS &amp; Gross Margin'!AY9</f>
        <v>0</v>
      </c>
      <c r="AY5" s="9">
        <f>'COGS &amp; Gross Margin'!AZ9</f>
        <v>0</v>
      </c>
      <c r="AZ5" s="9">
        <f>'COGS &amp; Gross Margin'!BA9</f>
        <v>0</v>
      </c>
      <c r="BA5" s="9">
        <f>'COGS &amp; Gross Margin'!BB9</f>
        <v>0</v>
      </c>
      <c r="BB5" s="9">
        <f>'COGS &amp; Gross Margin'!BC9</f>
        <v>0</v>
      </c>
      <c r="BC5" s="9">
        <f>'COGS &amp; Gross Margin'!BD9</f>
        <v>0</v>
      </c>
      <c r="BD5" s="9">
        <f>'COGS &amp; Gross Margin'!BE9</f>
        <v>0</v>
      </c>
      <c r="BE5" s="9">
        <f>'COGS &amp; Gross Margin'!BF9</f>
        <v>0</v>
      </c>
      <c r="BF5" s="9">
        <f>'COGS &amp; Gross Margin'!BG9</f>
        <v>0</v>
      </c>
      <c r="BG5" s="9">
        <f>'COGS &amp; Gross Margin'!BH9</f>
        <v>0</v>
      </c>
      <c r="BH5" s="9">
        <f>'COGS &amp; Gross Margin'!BI9</f>
        <v>0</v>
      </c>
      <c r="BI5" s="9">
        <f>'COGS &amp; Gross Margin'!BJ9</f>
        <v>0</v>
      </c>
    </row>
    <row r="6" spans="1:61">
      <c r="A6" t="s">
        <v>62</v>
      </c>
      <c r="B6" s="9">
        <f>'COGS &amp; Gross Margin'!C11</f>
        <v>0</v>
      </c>
      <c r="C6" s="9">
        <f>'COGS &amp; Gross Margin'!D11</f>
        <v>0</v>
      </c>
      <c r="D6" s="9">
        <f>'COGS &amp; Gross Margin'!E11</f>
        <v>0</v>
      </c>
      <c r="E6" s="9">
        <f>'COGS &amp; Gross Margin'!F11</f>
        <v>0</v>
      </c>
      <c r="F6" s="9">
        <f>'COGS &amp; Gross Margin'!G11</f>
        <v>0</v>
      </c>
      <c r="G6" s="9">
        <f>'COGS &amp; Gross Margin'!H11</f>
        <v>0</v>
      </c>
      <c r="H6" s="9">
        <f>'COGS &amp; Gross Margin'!I11</f>
        <v>0</v>
      </c>
      <c r="I6" s="9">
        <f>'COGS &amp; Gross Margin'!J11</f>
        <v>0</v>
      </c>
      <c r="J6" s="9">
        <f>'COGS &amp; Gross Margin'!K11</f>
        <v>0</v>
      </c>
      <c r="K6" s="9">
        <f>'COGS &amp; Gross Margin'!L11</f>
        <v>0</v>
      </c>
      <c r="L6" s="9">
        <f>'COGS &amp; Gross Margin'!M11</f>
        <v>0</v>
      </c>
      <c r="M6" s="9">
        <f>'COGS &amp; Gross Margin'!N11</f>
        <v>0</v>
      </c>
      <c r="N6" s="9">
        <f>'COGS &amp; Gross Margin'!O11</f>
        <v>0</v>
      </c>
      <c r="O6" s="9">
        <f>'COGS &amp; Gross Margin'!P11</f>
        <v>0</v>
      </c>
      <c r="P6" s="9">
        <f>'COGS &amp; Gross Margin'!Q11</f>
        <v>0</v>
      </c>
      <c r="Q6" s="9">
        <f>'COGS &amp; Gross Margin'!R11</f>
        <v>0</v>
      </c>
      <c r="R6" s="9">
        <f>'COGS &amp; Gross Margin'!S11</f>
        <v>0</v>
      </c>
      <c r="S6" s="9">
        <f>'COGS &amp; Gross Margin'!T11</f>
        <v>0</v>
      </c>
      <c r="T6" s="9">
        <f>'COGS &amp; Gross Margin'!U11</f>
        <v>0</v>
      </c>
      <c r="U6" s="9">
        <f>'COGS &amp; Gross Margin'!V11</f>
        <v>0</v>
      </c>
      <c r="V6" s="9">
        <f>'COGS &amp; Gross Margin'!W11</f>
        <v>0</v>
      </c>
      <c r="W6" s="9">
        <f>'COGS &amp; Gross Margin'!X11</f>
        <v>0</v>
      </c>
      <c r="X6" s="9">
        <f>'COGS &amp; Gross Margin'!Y11</f>
        <v>0</v>
      </c>
      <c r="Y6" s="9">
        <f>'COGS &amp; Gross Margin'!Z11</f>
        <v>0</v>
      </c>
      <c r="Z6" s="9">
        <f>'COGS &amp; Gross Margin'!AA11</f>
        <v>0</v>
      </c>
      <c r="AA6" s="9">
        <f>'COGS &amp; Gross Margin'!AB11</f>
        <v>0</v>
      </c>
      <c r="AB6" s="9">
        <f>'COGS &amp; Gross Margin'!AC11</f>
        <v>0</v>
      </c>
      <c r="AC6" s="9">
        <f>'COGS &amp; Gross Margin'!AD11</f>
        <v>0</v>
      </c>
      <c r="AD6" s="9">
        <f>'COGS &amp; Gross Margin'!AE11</f>
        <v>0</v>
      </c>
      <c r="AE6" s="9">
        <f>'COGS &amp; Gross Margin'!AF11</f>
        <v>0</v>
      </c>
      <c r="AF6" s="9">
        <f>'COGS &amp; Gross Margin'!AG11</f>
        <v>0</v>
      </c>
      <c r="AG6" s="9">
        <f>'COGS &amp; Gross Margin'!AH11</f>
        <v>0</v>
      </c>
      <c r="AH6" s="9">
        <f>'COGS &amp; Gross Margin'!AI11</f>
        <v>0</v>
      </c>
      <c r="AI6" s="9">
        <f>'COGS &amp; Gross Margin'!AJ11</f>
        <v>0</v>
      </c>
      <c r="AJ6" s="9">
        <f>'COGS &amp; Gross Margin'!AK11</f>
        <v>0</v>
      </c>
      <c r="AK6" s="9">
        <f>'COGS &amp; Gross Margin'!AL11</f>
        <v>0</v>
      </c>
      <c r="AL6" s="9">
        <f>'COGS &amp; Gross Margin'!AM11</f>
        <v>0</v>
      </c>
      <c r="AM6" s="9">
        <f>'COGS &amp; Gross Margin'!AN11</f>
        <v>0</v>
      </c>
      <c r="AN6" s="9">
        <f>'COGS &amp; Gross Margin'!AO11</f>
        <v>0</v>
      </c>
      <c r="AO6" s="9">
        <f>'COGS &amp; Gross Margin'!AP11</f>
        <v>0</v>
      </c>
      <c r="AP6" s="9">
        <f>'COGS &amp; Gross Margin'!AQ11</f>
        <v>0</v>
      </c>
      <c r="AQ6" s="9">
        <f>'COGS &amp; Gross Margin'!AR11</f>
        <v>0</v>
      </c>
      <c r="AR6" s="9">
        <f>'COGS &amp; Gross Margin'!AS11</f>
        <v>0</v>
      </c>
      <c r="AS6" s="9">
        <f>'COGS &amp; Gross Margin'!AT11</f>
        <v>0</v>
      </c>
      <c r="AT6" s="9">
        <f>'COGS &amp; Gross Margin'!AU11</f>
        <v>0</v>
      </c>
      <c r="AU6" s="9">
        <f>'COGS &amp; Gross Margin'!AV11</f>
        <v>0</v>
      </c>
      <c r="AV6" s="9">
        <f>'COGS &amp; Gross Margin'!AW11</f>
        <v>0</v>
      </c>
      <c r="AW6" s="9">
        <f>'COGS &amp; Gross Margin'!AX11</f>
        <v>0</v>
      </c>
      <c r="AX6" s="9">
        <f>'COGS &amp; Gross Margin'!AY11</f>
        <v>0</v>
      </c>
      <c r="AY6" s="9">
        <f>'COGS &amp; Gross Margin'!AZ11</f>
        <v>0</v>
      </c>
      <c r="AZ6" s="9">
        <f>'COGS &amp; Gross Margin'!BA11</f>
        <v>0</v>
      </c>
      <c r="BA6" s="9">
        <f>'COGS &amp; Gross Margin'!BB11</f>
        <v>0</v>
      </c>
      <c r="BB6" s="9">
        <f>'COGS &amp; Gross Margin'!BC11</f>
        <v>0</v>
      </c>
      <c r="BC6" s="9">
        <f>'COGS &amp; Gross Margin'!BD11</f>
        <v>0</v>
      </c>
      <c r="BD6" s="9">
        <f>'COGS &amp; Gross Margin'!BE11</f>
        <v>0</v>
      </c>
      <c r="BE6" s="9">
        <f>'COGS &amp; Gross Margin'!BF11</f>
        <v>0</v>
      </c>
      <c r="BF6" s="9">
        <f>'COGS &amp; Gross Margin'!BG11</f>
        <v>0</v>
      </c>
      <c r="BG6" s="9">
        <f>'COGS &amp; Gross Margin'!BH11</f>
        <v>0</v>
      </c>
      <c r="BH6" s="9">
        <f>'COGS &amp; Gross Margin'!BI11</f>
        <v>0</v>
      </c>
      <c r="BI6" s="9">
        <f>'COGS &amp; Gross Margin'!BJ11</f>
        <v>0</v>
      </c>
    </row>
    <row r="7" spans="1:61">
      <c r="A7" t="s">
        <v>51</v>
      </c>
      <c r="B7" s="4">
        <f>'COGS &amp; Gross Margin'!B12</f>
        <v>0</v>
      </c>
      <c r="C7" s="4">
        <f>'COGS &amp; Gross Margin'!C12</f>
        <v>0</v>
      </c>
      <c r="D7" s="4">
        <f>'COGS &amp; Gross Margin'!D12</f>
        <v>0</v>
      </c>
      <c r="E7" s="4">
        <f>'COGS &amp; Gross Margin'!E12</f>
        <v>0</v>
      </c>
      <c r="F7" s="4">
        <f>'COGS &amp; Gross Margin'!F12</f>
        <v>0</v>
      </c>
      <c r="G7" s="4">
        <f>'COGS &amp; Gross Margin'!G12</f>
        <v>0</v>
      </c>
      <c r="H7" s="4">
        <f>'COGS &amp; Gross Margin'!H12</f>
        <v>0</v>
      </c>
      <c r="I7" s="4">
        <f>'COGS &amp; Gross Margin'!I12</f>
        <v>0</v>
      </c>
      <c r="J7" s="4">
        <f>'COGS &amp; Gross Margin'!J12</f>
        <v>0</v>
      </c>
      <c r="K7" s="4">
        <f>'COGS &amp; Gross Margin'!K12</f>
        <v>0</v>
      </c>
      <c r="L7" s="4">
        <f>'COGS &amp; Gross Margin'!L12</f>
        <v>0</v>
      </c>
      <c r="M7" s="4">
        <f>'COGS &amp; Gross Margin'!M12</f>
        <v>0</v>
      </c>
      <c r="N7" s="4">
        <f>'COGS &amp; Gross Margin'!N12</f>
        <v>0</v>
      </c>
      <c r="O7" s="4">
        <f>'COGS &amp; Gross Margin'!O12</f>
        <v>0</v>
      </c>
      <c r="P7" s="4">
        <f>'COGS &amp; Gross Margin'!P12</f>
        <v>0</v>
      </c>
      <c r="Q7" s="4">
        <f>'COGS &amp; Gross Margin'!Q12</f>
        <v>0</v>
      </c>
      <c r="R7" s="4">
        <f>'COGS &amp; Gross Margin'!R12</f>
        <v>0</v>
      </c>
      <c r="S7" s="4">
        <f>'COGS &amp; Gross Margin'!S12</f>
        <v>0</v>
      </c>
      <c r="T7" s="4">
        <f>'COGS &amp; Gross Margin'!T12</f>
        <v>0</v>
      </c>
      <c r="U7" s="4">
        <f>'COGS &amp; Gross Margin'!U12</f>
        <v>0</v>
      </c>
      <c r="V7" s="4">
        <f>'COGS &amp; Gross Margin'!V12</f>
        <v>0</v>
      </c>
      <c r="W7" s="4">
        <f>'COGS &amp; Gross Margin'!W12</f>
        <v>0</v>
      </c>
      <c r="X7" s="4">
        <f>'COGS &amp; Gross Margin'!X12</f>
        <v>0</v>
      </c>
      <c r="Y7" s="4">
        <f>'COGS &amp; Gross Margin'!Y12</f>
        <v>0</v>
      </c>
      <c r="Z7" s="4">
        <f>'COGS &amp; Gross Margin'!Z12</f>
        <v>0</v>
      </c>
      <c r="AA7" s="4">
        <f>'COGS &amp; Gross Margin'!AA12</f>
        <v>0</v>
      </c>
      <c r="AB7" s="4">
        <f>'COGS &amp; Gross Margin'!AB12</f>
        <v>0</v>
      </c>
      <c r="AC7" s="4">
        <f>'COGS &amp; Gross Margin'!AC12</f>
        <v>0</v>
      </c>
      <c r="AD7" s="4">
        <f>'COGS &amp; Gross Margin'!AD12</f>
        <v>0</v>
      </c>
      <c r="AE7" s="4">
        <f>'COGS &amp; Gross Margin'!AE12</f>
        <v>0</v>
      </c>
      <c r="AF7" s="4">
        <f>'COGS &amp; Gross Margin'!AF12</f>
        <v>0</v>
      </c>
      <c r="AG7" s="4">
        <f>'COGS &amp; Gross Margin'!AG12</f>
        <v>0</v>
      </c>
      <c r="AH7" s="4">
        <f>'COGS &amp; Gross Margin'!AH12</f>
        <v>0</v>
      </c>
      <c r="AI7" s="4">
        <f>'COGS &amp; Gross Margin'!AI12</f>
        <v>0</v>
      </c>
      <c r="AJ7" s="4">
        <f>'COGS &amp; Gross Margin'!AJ12</f>
        <v>0</v>
      </c>
      <c r="AK7" s="4">
        <f>'COGS &amp; Gross Margin'!AK12</f>
        <v>0</v>
      </c>
      <c r="AL7" s="4">
        <f>'COGS &amp; Gross Margin'!AL12</f>
        <v>0</v>
      </c>
      <c r="AM7" s="4">
        <f>'COGS &amp; Gross Margin'!AM12</f>
        <v>0</v>
      </c>
      <c r="AN7" s="4">
        <f>'COGS &amp; Gross Margin'!AN12</f>
        <v>0</v>
      </c>
      <c r="AO7" s="4">
        <f>'COGS &amp; Gross Margin'!AO12</f>
        <v>0</v>
      </c>
      <c r="AP7" s="4">
        <f>'COGS &amp; Gross Margin'!AP12</f>
        <v>0</v>
      </c>
      <c r="AQ7" s="4">
        <f>'COGS &amp; Gross Margin'!AQ12</f>
        <v>0</v>
      </c>
      <c r="AR7" s="4">
        <f>'COGS &amp; Gross Margin'!AR12</f>
        <v>0</v>
      </c>
      <c r="AS7" s="4">
        <f>'COGS &amp; Gross Margin'!AS12</f>
        <v>0</v>
      </c>
      <c r="AT7" s="4">
        <f>'COGS &amp; Gross Margin'!AT12</f>
        <v>0</v>
      </c>
      <c r="AU7" s="4">
        <f>'COGS &amp; Gross Margin'!AU12</f>
        <v>0</v>
      </c>
      <c r="AV7" s="4">
        <f>'COGS &amp; Gross Margin'!AV12</f>
        <v>0</v>
      </c>
      <c r="AW7" s="4">
        <f>'COGS &amp; Gross Margin'!AW12</f>
        <v>0</v>
      </c>
      <c r="AX7" s="4">
        <f>'COGS &amp; Gross Margin'!AX12</f>
        <v>0</v>
      </c>
      <c r="AY7" s="4">
        <f>'COGS &amp; Gross Margin'!AY12</f>
        <v>0</v>
      </c>
      <c r="AZ7" s="4">
        <f>'COGS &amp; Gross Margin'!AZ12</f>
        <v>0</v>
      </c>
      <c r="BA7" s="4">
        <f>'COGS &amp; Gross Margin'!BA12</f>
        <v>0</v>
      </c>
      <c r="BB7" s="4">
        <f>'COGS &amp; Gross Margin'!BB12</f>
        <v>0</v>
      </c>
      <c r="BC7" s="4">
        <f>'COGS &amp; Gross Margin'!BC12</f>
        <v>0</v>
      </c>
      <c r="BD7" s="4">
        <f>'COGS &amp; Gross Margin'!BD12</f>
        <v>0</v>
      </c>
      <c r="BE7" s="4">
        <f>'COGS &amp; Gross Margin'!BE12</f>
        <v>0</v>
      </c>
      <c r="BF7" s="4">
        <f>'COGS &amp; Gross Margin'!BF12</f>
        <v>0</v>
      </c>
      <c r="BG7" s="4">
        <f>'COGS &amp; Gross Margin'!BG12</f>
        <v>0</v>
      </c>
      <c r="BH7" s="4">
        <f>'COGS &amp; Gross Margin'!BH12</f>
        <v>0</v>
      </c>
      <c r="BI7" s="4">
        <f>'COGS &amp; Gross Margin'!BI12</f>
        <v>0</v>
      </c>
    </row>
    <row r="9" spans="1:61">
      <c r="A9" t="s">
        <v>40</v>
      </c>
      <c r="B9" s="9">
        <f>'OpEx'!C10</f>
        <v>0</v>
      </c>
      <c r="C9" s="9">
        <f>'OpEx'!D10</f>
        <v>0</v>
      </c>
      <c r="D9" s="9">
        <f>'OpEx'!E10</f>
        <v>0</v>
      </c>
      <c r="E9" s="9">
        <f>'OpEx'!F10</f>
        <v>0</v>
      </c>
      <c r="F9" s="9">
        <f>'OpEx'!G10</f>
        <v>0</v>
      </c>
      <c r="G9" s="9">
        <f>'OpEx'!H10</f>
        <v>0</v>
      </c>
      <c r="H9" s="9">
        <f>'OpEx'!I10</f>
        <v>0</v>
      </c>
      <c r="I9" s="9">
        <f>'OpEx'!J10</f>
        <v>0</v>
      </c>
      <c r="J9" s="9">
        <f>'OpEx'!K10</f>
        <v>0</v>
      </c>
      <c r="K9" s="9">
        <f>'OpEx'!L10</f>
        <v>0</v>
      </c>
      <c r="L9" s="9">
        <f>'OpEx'!M10</f>
        <v>0</v>
      </c>
      <c r="M9" s="9">
        <f>'OpEx'!N10</f>
        <v>0</v>
      </c>
      <c r="N9" s="9">
        <f>'OpEx'!O10</f>
        <v>0</v>
      </c>
      <c r="O9" s="9">
        <f>'OpEx'!P10</f>
        <v>0</v>
      </c>
      <c r="P9" s="9">
        <f>'OpEx'!Q10</f>
        <v>0</v>
      </c>
      <c r="Q9" s="9">
        <f>'OpEx'!R10</f>
        <v>0</v>
      </c>
      <c r="R9" s="9">
        <f>'OpEx'!S10</f>
        <v>0</v>
      </c>
      <c r="S9" s="9">
        <f>'OpEx'!T10</f>
        <v>0</v>
      </c>
      <c r="T9" s="9">
        <f>'OpEx'!U10</f>
        <v>0</v>
      </c>
      <c r="U9" s="9">
        <f>'OpEx'!V10</f>
        <v>0</v>
      </c>
      <c r="V9" s="9">
        <f>'OpEx'!W10</f>
        <v>0</v>
      </c>
      <c r="W9" s="9">
        <f>'OpEx'!X10</f>
        <v>0</v>
      </c>
      <c r="X9" s="9">
        <f>'OpEx'!Y10</f>
        <v>0</v>
      </c>
      <c r="Y9" s="9">
        <f>'OpEx'!Z10</f>
        <v>0</v>
      </c>
      <c r="Z9" s="9">
        <f>'OpEx'!AA10</f>
        <v>0</v>
      </c>
      <c r="AA9" s="9">
        <f>'OpEx'!AB10</f>
        <v>0</v>
      </c>
      <c r="AB9" s="9">
        <f>'OpEx'!AC10</f>
        <v>0</v>
      </c>
      <c r="AC9" s="9">
        <f>'OpEx'!AD10</f>
        <v>0</v>
      </c>
      <c r="AD9" s="9">
        <f>'OpEx'!AE10</f>
        <v>0</v>
      </c>
      <c r="AE9" s="9">
        <f>'OpEx'!AF10</f>
        <v>0</v>
      </c>
      <c r="AF9" s="9">
        <f>'OpEx'!AG10</f>
        <v>0</v>
      </c>
      <c r="AG9" s="9">
        <f>'OpEx'!AH10</f>
        <v>0</v>
      </c>
      <c r="AH9" s="9">
        <f>'OpEx'!AI10</f>
        <v>0</v>
      </c>
      <c r="AI9" s="9">
        <f>'OpEx'!AJ10</f>
        <v>0</v>
      </c>
      <c r="AJ9" s="9">
        <f>'OpEx'!AK10</f>
        <v>0</v>
      </c>
      <c r="AK9" s="9">
        <f>'OpEx'!AL10</f>
        <v>0</v>
      </c>
      <c r="AL9" s="9">
        <f>'OpEx'!AM10</f>
        <v>0</v>
      </c>
      <c r="AM9" s="9">
        <f>'OpEx'!AN10</f>
        <v>0</v>
      </c>
      <c r="AN9" s="9">
        <f>'OpEx'!AO10</f>
        <v>0</v>
      </c>
      <c r="AO9" s="9">
        <f>'OpEx'!AP10</f>
        <v>0</v>
      </c>
      <c r="AP9" s="9">
        <f>'OpEx'!AQ10</f>
        <v>0</v>
      </c>
      <c r="AQ9" s="9">
        <f>'OpEx'!AR10</f>
        <v>0</v>
      </c>
      <c r="AR9" s="9">
        <f>'OpEx'!AS10</f>
        <v>0</v>
      </c>
      <c r="AS9" s="9">
        <f>'OpEx'!AT10</f>
        <v>0</v>
      </c>
      <c r="AT9" s="9">
        <f>'OpEx'!AU10</f>
        <v>0</v>
      </c>
      <c r="AU9" s="9">
        <f>'OpEx'!AV10</f>
        <v>0</v>
      </c>
      <c r="AV9" s="9">
        <f>'OpEx'!AW10</f>
        <v>0</v>
      </c>
      <c r="AW9" s="9">
        <f>'OpEx'!AX10</f>
        <v>0</v>
      </c>
      <c r="AX9" s="9">
        <f>'OpEx'!AY10</f>
        <v>0</v>
      </c>
      <c r="AY9" s="9">
        <f>'OpEx'!AZ10</f>
        <v>0</v>
      </c>
      <c r="AZ9" s="9">
        <f>'OpEx'!BA10</f>
        <v>0</v>
      </c>
      <c r="BA9" s="9">
        <f>'OpEx'!BB10</f>
        <v>0</v>
      </c>
      <c r="BB9" s="9">
        <f>'OpEx'!BC10</f>
        <v>0</v>
      </c>
      <c r="BC9" s="9">
        <f>'OpEx'!BD10</f>
        <v>0</v>
      </c>
      <c r="BD9" s="9">
        <f>'OpEx'!BE10</f>
        <v>0</v>
      </c>
      <c r="BE9" s="9">
        <f>'OpEx'!BF10</f>
        <v>0</v>
      </c>
      <c r="BF9" s="9">
        <f>'OpEx'!BG10</f>
        <v>0</v>
      </c>
      <c r="BG9" s="9">
        <f>'OpEx'!BH10</f>
        <v>0</v>
      </c>
      <c r="BH9" s="9">
        <f>'OpEx'!BI10</f>
        <v>0</v>
      </c>
      <c r="BI9" s="9">
        <f>'OpEx'!BJ10</f>
        <v>0</v>
      </c>
    </row>
    <row r="10" spans="1:61">
      <c r="A10" t="s">
        <v>41</v>
      </c>
      <c r="B10" s="9">
        <f>'OpEx'!C18</f>
        <v>0</v>
      </c>
      <c r="C10" s="9">
        <f>'OpEx'!D18</f>
        <v>0</v>
      </c>
      <c r="D10" s="9">
        <f>'OpEx'!E18</f>
        <v>0</v>
      </c>
      <c r="E10" s="9">
        <f>'OpEx'!F18</f>
        <v>0</v>
      </c>
      <c r="F10" s="9">
        <f>'OpEx'!G18</f>
        <v>0</v>
      </c>
      <c r="G10" s="9">
        <f>'OpEx'!H18</f>
        <v>0</v>
      </c>
      <c r="H10" s="9">
        <f>'OpEx'!I18</f>
        <v>0</v>
      </c>
      <c r="I10" s="9">
        <f>'OpEx'!J18</f>
        <v>0</v>
      </c>
      <c r="J10" s="9">
        <f>'OpEx'!K18</f>
        <v>0</v>
      </c>
      <c r="K10" s="9">
        <f>'OpEx'!L18</f>
        <v>0</v>
      </c>
      <c r="L10" s="9">
        <f>'OpEx'!M18</f>
        <v>0</v>
      </c>
      <c r="M10" s="9">
        <f>'OpEx'!N18</f>
        <v>0</v>
      </c>
      <c r="N10" s="9">
        <f>'OpEx'!O18</f>
        <v>0</v>
      </c>
      <c r="O10" s="9">
        <f>'OpEx'!P18</f>
        <v>0</v>
      </c>
      <c r="P10" s="9">
        <f>'OpEx'!Q18</f>
        <v>0</v>
      </c>
      <c r="Q10" s="9">
        <f>'OpEx'!R18</f>
        <v>0</v>
      </c>
      <c r="R10" s="9">
        <f>'OpEx'!S18</f>
        <v>0</v>
      </c>
      <c r="S10" s="9">
        <f>'OpEx'!T18</f>
        <v>0</v>
      </c>
      <c r="T10" s="9">
        <f>'OpEx'!U18</f>
        <v>0</v>
      </c>
      <c r="U10" s="9">
        <f>'OpEx'!V18</f>
        <v>0</v>
      </c>
      <c r="V10" s="9">
        <f>'OpEx'!W18</f>
        <v>0</v>
      </c>
      <c r="W10" s="9">
        <f>'OpEx'!X18</f>
        <v>0</v>
      </c>
      <c r="X10" s="9">
        <f>'OpEx'!Y18</f>
        <v>0</v>
      </c>
      <c r="Y10" s="9">
        <f>'OpEx'!Z18</f>
        <v>0</v>
      </c>
      <c r="Z10" s="9">
        <f>'OpEx'!AA18</f>
        <v>0</v>
      </c>
      <c r="AA10" s="9">
        <f>'OpEx'!AB18</f>
        <v>0</v>
      </c>
      <c r="AB10" s="9">
        <f>'OpEx'!AC18</f>
        <v>0</v>
      </c>
      <c r="AC10" s="9">
        <f>'OpEx'!AD18</f>
        <v>0</v>
      </c>
      <c r="AD10" s="9">
        <f>'OpEx'!AE18</f>
        <v>0</v>
      </c>
      <c r="AE10" s="9">
        <f>'OpEx'!AF18</f>
        <v>0</v>
      </c>
      <c r="AF10" s="9">
        <f>'OpEx'!AG18</f>
        <v>0</v>
      </c>
      <c r="AG10" s="9">
        <f>'OpEx'!AH18</f>
        <v>0</v>
      </c>
      <c r="AH10" s="9">
        <f>'OpEx'!AI18</f>
        <v>0</v>
      </c>
      <c r="AI10" s="9">
        <f>'OpEx'!AJ18</f>
        <v>0</v>
      </c>
      <c r="AJ10" s="9">
        <f>'OpEx'!AK18</f>
        <v>0</v>
      </c>
      <c r="AK10" s="9">
        <f>'OpEx'!AL18</f>
        <v>0</v>
      </c>
      <c r="AL10" s="9">
        <f>'OpEx'!AM18</f>
        <v>0</v>
      </c>
      <c r="AM10" s="9">
        <f>'OpEx'!AN18</f>
        <v>0</v>
      </c>
      <c r="AN10" s="9">
        <f>'OpEx'!AO18</f>
        <v>0</v>
      </c>
      <c r="AO10" s="9">
        <f>'OpEx'!AP18</f>
        <v>0</v>
      </c>
      <c r="AP10" s="9">
        <f>'OpEx'!AQ18</f>
        <v>0</v>
      </c>
      <c r="AQ10" s="9">
        <f>'OpEx'!AR18</f>
        <v>0</v>
      </c>
      <c r="AR10" s="9">
        <f>'OpEx'!AS18</f>
        <v>0</v>
      </c>
      <c r="AS10" s="9">
        <f>'OpEx'!AT18</f>
        <v>0</v>
      </c>
      <c r="AT10" s="9">
        <f>'OpEx'!AU18</f>
        <v>0</v>
      </c>
      <c r="AU10" s="9">
        <f>'OpEx'!AV18</f>
        <v>0</v>
      </c>
      <c r="AV10" s="9">
        <f>'OpEx'!AW18</f>
        <v>0</v>
      </c>
      <c r="AW10" s="9">
        <f>'OpEx'!AX18</f>
        <v>0</v>
      </c>
      <c r="AX10" s="9">
        <f>'OpEx'!AY18</f>
        <v>0</v>
      </c>
      <c r="AY10" s="9">
        <f>'OpEx'!AZ18</f>
        <v>0</v>
      </c>
      <c r="AZ10" s="9">
        <f>'OpEx'!BA18</f>
        <v>0</v>
      </c>
      <c r="BA10" s="9">
        <f>'OpEx'!BB18</f>
        <v>0</v>
      </c>
      <c r="BB10" s="9">
        <f>'OpEx'!BC18</f>
        <v>0</v>
      </c>
      <c r="BC10" s="9">
        <f>'OpEx'!BD18</f>
        <v>0</v>
      </c>
      <c r="BD10" s="9">
        <f>'OpEx'!BE18</f>
        <v>0</v>
      </c>
      <c r="BE10" s="9">
        <f>'OpEx'!BF18</f>
        <v>0</v>
      </c>
      <c r="BF10" s="9">
        <f>'OpEx'!BG18</f>
        <v>0</v>
      </c>
      <c r="BG10" s="9">
        <f>'OpEx'!BH18</f>
        <v>0</v>
      </c>
      <c r="BH10" s="9">
        <f>'OpEx'!BI18</f>
        <v>0</v>
      </c>
      <c r="BI10" s="9">
        <f>'OpEx'!BJ18</f>
        <v>0</v>
      </c>
    </row>
    <row r="11" spans="1:61">
      <c r="A11" t="s">
        <v>42</v>
      </c>
      <c r="B11" s="9">
        <f>'OpEx'!C26</f>
        <v>0</v>
      </c>
      <c r="C11" s="9">
        <f>'OpEx'!D26</f>
        <v>0</v>
      </c>
      <c r="D11" s="9">
        <f>'OpEx'!E26</f>
        <v>0</v>
      </c>
      <c r="E11" s="9">
        <f>'OpEx'!F26</f>
        <v>0</v>
      </c>
      <c r="F11" s="9">
        <f>'OpEx'!G26</f>
        <v>0</v>
      </c>
      <c r="G11" s="9">
        <f>'OpEx'!H26</f>
        <v>0</v>
      </c>
      <c r="H11" s="9">
        <f>'OpEx'!I26</f>
        <v>0</v>
      </c>
      <c r="I11" s="9">
        <f>'OpEx'!J26</f>
        <v>0</v>
      </c>
      <c r="J11" s="9">
        <f>'OpEx'!K26</f>
        <v>0</v>
      </c>
      <c r="K11" s="9">
        <f>'OpEx'!L26</f>
        <v>0</v>
      </c>
      <c r="L11" s="9">
        <f>'OpEx'!M26</f>
        <v>0</v>
      </c>
      <c r="M11" s="9">
        <f>'OpEx'!N26</f>
        <v>0</v>
      </c>
      <c r="N11" s="9">
        <f>'OpEx'!O26</f>
        <v>0</v>
      </c>
      <c r="O11" s="9">
        <f>'OpEx'!P26</f>
        <v>0</v>
      </c>
      <c r="P11" s="9">
        <f>'OpEx'!Q26</f>
        <v>0</v>
      </c>
      <c r="Q11" s="9">
        <f>'OpEx'!R26</f>
        <v>0</v>
      </c>
      <c r="R11" s="9">
        <f>'OpEx'!S26</f>
        <v>0</v>
      </c>
      <c r="S11" s="9">
        <f>'OpEx'!T26</f>
        <v>0</v>
      </c>
      <c r="T11" s="9">
        <f>'OpEx'!U26</f>
        <v>0</v>
      </c>
      <c r="U11" s="9">
        <f>'OpEx'!V26</f>
        <v>0</v>
      </c>
      <c r="V11" s="9">
        <f>'OpEx'!W26</f>
        <v>0</v>
      </c>
      <c r="W11" s="9">
        <f>'OpEx'!X26</f>
        <v>0</v>
      </c>
      <c r="X11" s="9">
        <f>'OpEx'!Y26</f>
        <v>0</v>
      </c>
      <c r="Y11" s="9">
        <f>'OpEx'!Z26</f>
        <v>0</v>
      </c>
      <c r="Z11" s="9">
        <f>'OpEx'!AA26</f>
        <v>0</v>
      </c>
      <c r="AA11" s="9">
        <f>'OpEx'!AB26</f>
        <v>0</v>
      </c>
      <c r="AB11" s="9">
        <f>'OpEx'!AC26</f>
        <v>0</v>
      </c>
      <c r="AC11" s="9">
        <f>'OpEx'!AD26</f>
        <v>0</v>
      </c>
      <c r="AD11" s="9">
        <f>'OpEx'!AE26</f>
        <v>0</v>
      </c>
      <c r="AE11" s="9">
        <f>'OpEx'!AF26</f>
        <v>0</v>
      </c>
      <c r="AF11" s="9">
        <f>'OpEx'!AG26</f>
        <v>0</v>
      </c>
      <c r="AG11" s="9">
        <f>'OpEx'!AH26</f>
        <v>0</v>
      </c>
      <c r="AH11" s="9">
        <f>'OpEx'!AI26</f>
        <v>0</v>
      </c>
      <c r="AI11" s="9">
        <f>'OpEx'!AJ26</f>
        <v>0</v>
      </c>
      <c r="AJ11" s="9">
        <f>'OpEx'!AK26</f>
        <v>0</v>
      </c>
      <c r="AK11" s="9">
        <f>'OpEx'!AL26</f>
        <v>0</v>
      </c>
      <c r="AL11" s="9">
        <f>'OpEx'!AM26</f>
        <v>0</v>
      </c>
      <c r="AM11" s="9">
        <f>'OpEx'!AN26</f>
        <v>0</v>
      </c>
      <c r="AN11" s="9">
        <f>'OpEx'!AO26</f>
        <v>0</v>
      </c>
      <c r="AO11" s="9">
        <f>'OpEx'!AP26</f>
        <v>0</v>
      </c>
      <c r="AP11" s="9">
        <f>'OpEx'!AQ26</f>
        <v>0</v>
      </c>
      <c r="AQ11" s="9">
        <f>'OpEx'!AR26</f>
        <v>0</v>
      </c>
      <c r="AR11" s="9">
        <f>'OpEx'!AS26</f>
        <v>0</v>
      </c>
      <c r="AS11" s="9">
        <f>'OpEx'!AT26</f>
        <v>0</v>
      </c>
      <c r="AT11" s="9">
        <f>'OpEx'!AU26</f>
        <v>0</v>
      </c>
      <c r="AU11" s="9">
        <f>'OpEx'!AV26</f>
        <v>0</v>
      </c>
      <c r="AV11" s="9">
        <f>'OpEx'!AW26</f>
        <v>0</v>
      </c>
      <c r="AW11" s="9">
        <f>'OpEx'!AX26</f>
        <v>0</v>
      </c>
      <c r="AX11" s="9">
        <f>'OpEx'!AY26</f>
        <v>0</v>
      </c>
      <c r="AY11" s="9">
        <f>'OpEx'!AZ26</f>
        <v>0</v>
      </c>
      <c r="AZ11" s="9">
        <f>'OpEx'!BA26</f>
        <v>0</v>
      </c>
      <c r="BA11" s="9">
        <f>'OpEx'!BB26</f>
        <v>0</v>
      </c>
      <c r="BB11" s="9">
        <f>'OpEx'!BC26</f>
        <v>0</v>
      </c>
      <c r="BC11" s="9">
        <f>'OpEx'!BD26</f>
        <v>0</v>
      </c>
      <c r="BD11" s="9">
        <f>'OpEx'!BE26</f>
        <v>0</v>
      </c>
      <c r="BE11" s="9">
        <f>'OpEx'!BF26</f>
        <v>0</v>
      </c>
      <c r="BF11" s="9">
        <f>'OpEx'!BG26</f>
        <v>0</v>
      </c>
      <c r="BG11" s="9">
        <f>'OpEx'!BH26</f>
        <v>0</v>
      </c>
      <c r="BH11" s="9">
        <f>'OpEx'!BI26</f>
        <v>0</v>
      </c>
      <c r="BI11" s="9">
        <f>'OpEx'!BJ26</f>
        <v>0</v>
      </c>
    </row>
    <row r="12" spans="1:61">
      <c r="A12" t="s">
        <v>43</v>
      </c>
      <c r="B12" s="9">
        <f>'OpEx'!C34</f>
        <v>0</v>
      </c>
      <c r="C12" s="9">
        <f>'OpEx'!D34</f>
        <v>0</v>
      </c>
      <c r="D12" s="9">
        <f>'OpEx'!E34</f>
        <v>0</v>
      </c>
      <c r="E12" s="9">
        <f>'OpEx'!F34</f>
        <v>0</v>
      </c>
      <c r="F12" s="9">
        <f>'OpEx'!G34</f>
        <v>0</v>
      </c>
      <c r="G12" s="9">
        <f>'OpEx'!H34</f>
        <v>0</v>
      </c>
      <c r="H12" s="9">
        <f>'OpEx'!I34</f>
        <v>0</v>
      </c>
      <c r="I12" s="9">
        <f>'OpEx'!J34</f>
        <v>0</v>
      </c>
      <c r="J12" s="9">
        <f>'OpEx'!K34</f>
        <v>0</v>
      </c>
      <c r="K12" s="9">
        <f>'OpEx'!L34</f>
        <v>0</v>
      </c>
      <c r="L12" s="9">
        <f>'OpEx'!M34</f>
        <v>0</v>
      </c>
      <c r="M12" s="9">
        <f>'OpEx'!N34</f>
        <v>0</v>
      </c>
      <c r="N12" s="9">
        <f>'OpEx'!O34</f>
        <v>0</v>
      </c>
      <c r="O12" s="9">
        <f>'OpEx'!P34</f>
        <v>0</v>
      </c>
      <c r="P12" s="9">
        <f>'OpEx'!Q34</f>
        <v>0</v>
      </c>
      <c r="Q12" s="9">
        <f>'OpEx'!R34</f>
        <v>0</v>
      </c>
      <c r="R12" s="9">
        <f>'OpEx'!S34</f>
        <v>0</v>
      </c>
      <c r="S12" s="9">
        <f>'OpEx'!T34</f>
        <v>0</v>
      </c>
      <c r="T12" s="9">
        <f>'OpEx'!U34</f>
        <v>0</v>
      </c>
      <c r="U12" s="9">
        <f>'OpEx'!V34</f>
        <v>0</v>
      </c>
      <c r="V12" s="9">
        <f>'OpEx'!W34</f>
        <v>0</v>
      </c>
      <c r="W12" s="9">
        <f>'OpEx'!X34</f>
        <v>0</v>
      </c>
      <c r="X12" s="9">
        <f>'OpEx'!Y34</f>
        <v>0</v>
      </c>
      <c r="Y12" s="9">
        <f>'OpEx'!Z34</f>
        <v>0</v>
      </c>
      <c r="Z12" s="9">
        <f>'OpEx'!AA34</f>
        <v>0</v>
      </c>
      <c r="AA12" s="9">
        <f>'OpEx'!AB34</f>
        <v>0</v>
      </c>
      <c r="AB12" s="9">
        <f>'OpEx'!AC34</f>
        <v>0</v>
      </c>
      <c r="AC12" s="9">
        <f>'OpEx'!AD34</f>
        <v>0</v>
      </c>
      <c r="AD12" s="9">
        <f>'OpEx'!AE34</f>
        <v>0</v>
      </c>
      <c r="AE12" s="9">
        <f>'OpEx'!AF34</f>
        <v>0</v>
      </c>
      <c r="AF12" s="9">
        <f>'OpEx'!AG34</f>
        <v>0</v>
      </c>
      <c r="AG12" s="9">
        <f>'OpEx'!AH34</f>
        <v>0</v>
      </c>
      <c r="AH12" s="9">
        <f>'OpEx'!AI34</f>
        <v>0</v>
      </c>
      <c r="AI12" s="9">
        <f>'OpEx'!AJ34</f>
        <v>0</v>
      </c>
      <c r="AJ12" s="9">
        <f>'OpEx'!AK34</f>
        <v>0</v>
      </c>
      <c r="AK12" s="9">
        <f>'OpEx'!AL34</f>
        <v>0</v>
      </c>
      <c r="AL12" s="9">
        <f>'OpEx'!AM34</f>
        <v>0</v>
      </c>
      <c r="AM12" s="9">
        <f>'OpEx'!AN34</f>
        <v>0</v>
      </c>
      <c r="AN12" s="9">
        <f>'OpEx'!AO34</f>
        <v>0</v>
      </c>
      <c r="AO12" s="9">
        <f>'OpEx'!AP34</f>
        <v>0</v>
      </c>
      <c r="AP12" s="9">
        <f>'OpEx'!AQ34</f>
        <v>0</v>
      </c>
      <c r="AQ12" s="9">
        <f>'OpEx'!AR34</f>
        <v>0</v>
      </c>
      <c r="AR12" s="9">
        <f>'OpEx'!AS34</f>
        <v>0</v>
      </c>
      <c r="AS12" s="9">
        <f>'OpEx'!AT34</f>
        <v>0</v>
      </c>
      <c r="AT12" s="9">
        <f>'OpEx'!AU34</f>
        <v>0</v>
      </c>
      <c r="AU12" s="9">
        <f>'OpEx'!AV34</f>
        <v>0</v>
      </c>
      <c r="AV12" s="9">
        <f>'OpEx'!AW34</f>
        <v>0</v>
      </c>
      <c r="AW12" s="9">
        <f>'OpEx'!AX34</f>
        <v>0</v>
      </c>
      <c r="AX12" s="9">
        <f>'OpEx'!AY34</f>
        <v>0</v>
      </c>
      <c r="AY12" s="9">
        <f>'OpEx'!AZ34</f>
        <v>0</v>
      </c>
      <c r="AZ12" s="9">
        <f>'OpEx'!BA34</f>
        <v>0</v>
      </c>
      <c r="BA12" s="9">
        <f>'OpEx'!BB34</f>
        <v>0</v>
      </c>
      <c r="BB12" s="9">
        <f>'OpEx'!BC34</f>
        <v>0</v>
      </c>
      <c r="BC12" s="9">
        <f>'OpEx'!BD34</f>
        <v>0</v>
      </c>
      <c r="BD12" s="9">
        <f>'OpEx'!BE34</f>
        <v>0</v>
      </c>
      <c r="BE12" s="9">
        <f>'OpEx'!BF34</f>
        <v>0</v>
      </c>
      <c r="BF12" s="9">
        <f>'OpEx'!BG34</f>
        <v>0</v>
      </c>
      <c r="BG12" s="9">
        <f>'OpEx'!BH34</f>
        <v>0</v>
      </c>
      <c r="BH12" s="9">
        <f>'OpEx'!BI34</f>
        <v>0</v>
      </c>
      <c r="BI12" s="9">
        <f>'OpEx'!BJ34</f>
        <v>0</v>
      </c>
    </row>
    <row r="13" spans="1:61">
      <c r="A13" t="s">
        <v>45</v>
      </c>
      <c r="B13" s="9">
        <f>'OpEx'!C50</f>
        <v>0</v>
      </c>
      <c r="C13" s="9">
        <f>'OpEx'!D50</f>
        <v>0</v>
      </c>
      <c r="D13" s="9">
        <f>'OpEx'!E50</f>
        <v>0</v>
      </c>
      <c r="E13" s="9">
        <f>'OpEx'!F50</f>
        <v>0</v>
      </c>
      <c r="F13" s="9">
        <f>'OpEx'!G50</f>
        <v>0</v>
      </c>
      <c r="G13" s="9">
        <f>'OpEx'!H50</f>
        <v>0</v>
      </c>
      <c r="H13" s="9">
        <f>'OpEx'!I50</f>
        <v>0</v>
      </c>
      <c r="I13" s="9">
        <f>'OpEx'!J50</f>
        <v>0</v>
      </c>
      <c r="J13" s="9">
        <f>'OpEx'!K50</f>
        <v>0</v>
      </c>
      <c r="K13" s="9">
        <f>'OpEx'!L50</f>
        <v>0</v>
      </c>
      <c r="L13" s="9">
        <f>'OpEx'!M50</f>
        <v>0</v>
      </c>
      <c r="M13" s="9">
        <f>'OpEx'!N50</f>
        <v>0</v>
      </c>
      <c r="N13" s="9">
        <f>'OpEx'!O50</f>
        <v>0</v>
      </c>
      <c r="O13" s="9">
        <f>'OpEx'!P50</f>
        <v>0</v>
      </c>
      <c r="P13" s="9">
        <f>'OpEx'!Q50</f>
        <v>0</v>
      </c>
      <c r="Q13" s="9">
        <f>'OpEx'!R50</f>
        <v>0</v>
      </c>
      <c r="R13" s="9">
        <f>'OpEx'!S50</f>
        <v>0</v>
      </c>
      <c r="S13" s="9">
        <f>'OpEx'!T50</f>
        <v>0</v>
      </c>
      <c r="T13" s="9">
        <f>'OpEx'!U50</f>
        <v>0</v>
      </c>
      <c r="U13" s="9">
        <f>'OpEx'!V50</f>
        <v>0</v>
      </c>
      <c r="V13" s="9">
        <f>'OpEx'!W50</f>
        <v>0</v>
      </c>
      <c r="W13" s="9">
        <f>'OpEx'!X50</f>
        <v>0</v>
      </c>
      <c r="X13" s="9">
        <f>'OpEx'!Y50</f>
        <v>0</v>
      </c>
      <c r="Y13" s="9">
        <f>'OpEx'!Z50</f>
        <v>0</v>
      </c>
      <c r="Z13" s="9">
        <f>'OpEx'!AA50</f>
        <v>0</v>
      </c>
      <c r="AA13" s="9">
        <f>'OpEx'!AB50</f>
        <v>0</v>
      </c>
      <c r="AB13" s="9">
        <f>'OpEx'!AC50</f>
        <v>0</v>
      </c>
      <c r="AC13" s="9">
        <f>'OpEx'!AD50</f>
        <v>0</v>
      </c>
      <c r="AD13" s="9">
        <f>'OpEx'!AE50</f>
        <v>0</v>
      </c>
      <c r="AE13" s="9">
        <f>'OpEx'!AF50</f>
        <v>0</v>
      </c>
      <c r="AF13" s="9">
        <f>'OpEx'!AG50</f>
        <v>0</v>
      </c>
      <c r="AG13" s="9">
        <f>'OpEx'!AH50</f>
        <v>0</v>
      </c>
      <c r="AH13" s="9">
        <f>'OpEx'!AI50</f>
        <v>0</v>
      </c>
      <c r="AI13" s="9">
        <f>'OpEx'!AJ50</f>
        <v>0</v>
      </c>
      <c r="AJ13" s="9">
        <f>'OpEx'!AK50</f>
        <v>0</v>
      </c>
      <c r="AK13" s="9">
        <f>'OpEx'!AL50</f>
        <v>0</v>
      </c>
      <c r="AL13" s="9">
        <f>'OpEx'!AM50</f>
        <v>0</v>
      </c>
      <c r="AM13" s="9">
        <f>'OpEx'!AN50</f>
        <v>0</v>
      </c>
      <c r="AN13" s="9">
        <f>'OpEx'!AO50</f>
        <v>0</v>
      </c>
      <c r="AO13" s="9">
        <f>'OpEx'!AP50</f>
        <v>0</v>
      </c>
      <c r="AP13" s="9">
        <f>'OpEx'!AQ50</f>
        <v>0</v>
      </c>
      <c r="AQ13" s="9">
        <f>'OpEx'!AR50</f>
        <v>0</v>
      </c>
      <c r="AR13" s="9">
        <f>'OpEx'!AS50</f>
        <v>0</v>
      </c>
      <c r="AS13" s="9">
        <f>'OpEx'!AT50</f>
        <v>0</v>
      </c>
      <c r="AT13" s="9">
        <f>'OpEx'!AU50</f>
        <v>0</v>
      </c>
      <c r="AU13" s="9">
        <f>'OpEx'!AV50</f>
        <v>0</v>
      </c>
      <c r="AV13" s="9">
        <f>'OpEx'!AW50</f>
        <v>0</v>
      </c>
      <c r="AW13" s="9">
        <f>'OpEx'!AX50</f>
        <v>0</v>
      </c>
      <c r="AX13" s="9">
        <f>'OpEx'!AY50</f>
        <v>0</v>
      </c>
      <c r="AY13" s="9">
        <f>'OpEx'!AZ50</f>
        <v>0</v>
      </c>
      <c r="AZ13" s="9">
        <f>'OpEx'!BA50</f>
        <v>0</v>
      </c>
      <c r="BA13" s="9">
        <f>'OpEx'!BB50</f>
        <v>0</v>
      </c>
      <c r="BB13" s="9">
        <f>'OpEx'!BC50</f>
        <v>0</v>
      </c>
      <c r="BC13" s="9">
        <f>'OpEx'!BD50</f>
        <v>0</v>
      </c>
      <c r="BD13" s="9">
        <f>'OpEx'!BE50</f>
        <v>0</v>
      </c>
      <c r="BE13" s="9">
        <f>'OpEx'!BF50</f>
        <v>0</v>
      </c>
      <c r="BF13" s="9">
        <f>'OpEx'!BG50</f>
        <v>0</v>
      </c>
      <c r="BG13" s="9">
        <f>'OpEx'!BH50</f>
        <v>0</v>
      </c>
      <c r="BH13" s="9">
        <f>'OpEx'!BI50</f>
        <v>0</v>
      </c>
      <c r="BI13" s="9">
        <f>'OpEx'!BJ50</f>
        <v>0</v>
      </c>
    </row>
    <row r="14" spans="1:61">
      <c r="A14" s="2" t="s">
        <v>59</v>
      </c>
      <c r="B14" s="10">
        <f>'OpEx'!C52</f>
        <v>0</v>
      </c>
      <c r="C14" s="10">
        <f>'OpEx'!D52</f>
        <v>0</v>
      </c>
      <c r="D14" s="10">
        <f>'OpEx'!E52</f>
        <v>0</v>
      </c>
      <c r="E14" s="10">
        <f>'OpEx'!F52</f>
        <v>0</v>
      </c>
      <c r="F14" s="10">
        <f>'OpEx'!G52</f>
        <v>0</v>
      </c>
      <c r="G14" s="10">
        <f>'OpEx'!H52</f>
        <v>0</v>
      </c>
      <c r="H14" s="10">
        <f>'OpEx'!I52</f>
        <v>0</v>
      </c>
      <c r="I14" s="10">
        <f>'OpEx'!J52</f>
        <v>0</v>
      </c>
      <c r="J14" s="10">
        <f>'OpEx'!K52</f>
        <v>0</v>
      </c>
      <c r="K14" s="10">
        <f>'OpEx'!L52</f>
        <v>0</v>
      </c>
      <c r="L14" s="10">
        <f>'OpEx'!M52</f>
        <v>0</v>
      </c>
      <c r="M14" s="10">
        <f>'OpEx'!N52</f>
        <v>0</v>
      </c>
      <c r="N14" s="10">
        <f>'OpEx'!O52</f>
        <v>0</v>
      </c>
      <c r="O14" s="10">
        <f>'OpEx'!P52</f>
        <v>0</v>
      </c>
      <c r="P14" s="10">
        <f>'OpEx'!Q52</f>
        <v>0</v>
      </c>
      <c r="Q14" s="10">
        <f>'OpEx'!R52</f>
        <v>0</v>
      </c>
      <c r="R14" s="10">
        <f>'OpEx'!S52</f>
        <v>0</v>
      </c>
      <c r="S14" s="10">
        <f>'OpEx'!T52</f>
        <v>0</v>
      </c>
      <c r="T14" s="10">
        <f>'OpEx'!U52</f>
        <v>0</v>
      </c>
      <c r="U14" s="10">
        <f>'OpEx'!V52</f>
        <v>0</v>
      </c>
      <c r="V14" s="10">
        <f>'OpEx'!W52</f>
        <v>0</v>
      </c>
      <c r="W14" s="10">
        <f>'OpEx'!X52</f>
        <v>0</v>
      </c>
      <c r="X14" s="10">
        <f>'OpEx'!Y52</f>
        <v>0</v>
      </c>
      <c r="Y14" s="10">
        <f>'OpEx'!Z52</f>
        <v>0</v>
      </c>
      <c r="Z14" s="10">
        <f>'OpEx'!AA52</f>
        <v>0</v>
      </c>
      <c r="AA14" s="10">
        <f>'OpEx'!AB52</f>
        <v>0</v>
      </c>
      <c r="AB14" s="10">
        <f>'OpEx'!AC52</f>
        <v>0</v>
      </c>
      <c r="AC14" s="10">
        <f>'OpEx'!AD52</f>
        <v>0</v>
      </c>
      <c r="AD14" s="10">
        <f>'OpEx'!AE52</f>
        <v>0</v>
      </c>
      <c r="AE14" s="10">
        <f>'OpEx'!AF52</f>
        <v>0</v>
      </c>
      <c r="AF14" s="10">
        <f>'OpEx'!AG52</f>
        <v>0</v>
      </c>
      <c r="AG14" s="10">
        <f>'OpEx'!AH52</f>
        <v>0</v>
      </c>
      <c r="AH14" s="10">
        <f>'OpEx'!AI52</f>
        <v>0</v>
      </c>
      <c r="AI14" s="10">
        <f>'OpEx'!AJ52</f>
        <v>0</v>
      </c>
      <c r="AJ14" s="10">
        <f>'OpEx'!AK52</f>
        <v>0</v>
      </c>
      <c r="AK14" s="10">
        <f>'OpEx'!AL52</f>
        <v>0</v>
      </c>
      <c r="AL14" s="10">
        <f>'OpEx'!AM52</f>
        <v>0</v>
      </c>
      <c r="AM14" s="10">
        <f>'OpEx'!AN52</f>
        <v>0</v>
      </c>
      <c r="AN14" s="10">
        <f>'OpEx'!AO52</f>
        <v>0</v>
      </c>
      <c r="AO14" s="10">
        <f>'OpEx'!AP52</f>
        <v>0</v>
      </c>
      <c r="AP14" s="10">
        <f>'OpEx'!AQ52</f>
        <v>0</v>
      </c>
      <c r="AQ14" s="10">
        <f>'OpEx'!AR52</f>
        <v>0</v>
      </c>
      <c r="AR14" s="10">
        <f>'OpEx'!AS52</f>
        <v>0</v>
      </c>
      <c r="AS14" s="10">
        <f>'OpEx'!AT52</f>
        <v>0</v>
      </c>
      <c r="AT14" s="10">
        <f>'OpEx'!AU52</f>
        <v>0</v>
      </c>
      <c r="AU14" s="10">
        <f>'OpEx'!AV52</f>
        <v>0</v>
      </c>
      <c r="AV14" s="10">
        <f>'OpEx'!AW52</f>
        <v>0</v>
      </c>
      <c r="AW14" s="10">
        <f>'OpEx'!AX52</f>
        <v>0</v>
      </c>
      <c r="AX14" s="10">
        <f>'OpEx'!AY52</f>
        <v>0</v>
      </c>
      <c r="AY14" s="10">
        <f>'OpEx'!AZ52</f>
        <v>0</v>
      </c>
      <c r="AZ14" s="10">
        <f>'OpEx'!BA52</f>
        <v>0</v>
      </c>
      <c r="BA14" s="10">
        <f>'OpEx'!BB52</f>
        <v>0</v>
      </c>
      <c r="BB14" s="10">
        <f>'OpEx'!BC52</f>
        <v>0</v>
      </c>
      <c r="BC14" s="10">
        <f>'OpEx'!BD52</f>
        <v>0</v>
      </c>
      <c r="BD14" s="10">
        <f>'OpEx'!BE52</f>
        <v>0</v>
      </c>
      <c r="BE14" s="10">
        <f>'OpEx'!BF52</f>
        <v>0</v>
      </c>
      <c r="BF14" s="10">
        <f>'OpEx'!BG52</f>
        <v>0</v>
      </c>
      <c r="BG14" s="10">
        <f>'OpEx'!BH52</f>
        <v>0</v>
      </c>
      <c r="BH14" s="10">
        <f>'OpEx'!BI52</f>
        <v>0</v>
      </c>
      <c r="BI14" s="10">
        <f>'OpEx'!BJ52</f>
        <v>0</v>
      </c>
    </row>
    <row r="16" spans="1:61">
      <c r="A16" s="2" t="s">
        <v>63</v>
      </c>
      <c r="B16" s="10">
        <f>B6-B14</f>
        <v>0</v>
      </c>
      <c r="C16" s="10">
        <f>C6-C14</f>
        <v>0</v>
      </c>
      <c r="D16" s="10">
        <f>D6-D14</f>
        <v>0</v>
      </c>
      <c r="E16" s="10">
        <f>E6-E14</f>
        <v>0</v>
      </c>
      <c r="F16" s="10">
        <f>F6-F14</f>
        <v>0</v>
      </c>
      <c r="G16" s="10">
        <f>G6-G14</f>
        <v>0</v>
      </c>
      <c r="H16" s="10">
        <f>H6-H14</f>
        <v>0</v>
      </c>
      <c r="I16" s="10">
        <f>I6-I14</f>
        <v>0</v>
      </c>
      <c r="J16" s="10">
        <f>J6-J14</f>
        <v>0</v>
      </c>
      <c r="K16" s="10">
        <f>K6-K14</f>
        <v>0</v>
      </c>
      <c r="L16" s="10">
        <f>L6-L14</f>
        <v>0</v>
      </c>
      <c r="M16" s="10">
        <f>M6-M14</f>
        <v>0</v>
      </c>
      <c r="N16" s="10">
        <f>N6-N14</f>
        <v>0</v>
      </c>
      <c r="O16" s="10">
        <f>O6-O14</f>
        <v>0</v>
      </c>
      <c r="P16" s="10">
        <f>P6-P14</f>
        <v>0</v>
      </c>
      <c r="Q16" s="10">
        <f>Q6-Q14</f>
        <v>0</v>
      </c>
      <c r="R16" s="10">
        <f>R6-R14</f>
        <v>0</v>
      </c>
      <c r="S16" s="10">
        <f>S6-S14</f>
        <v>0</v>
      </c>
      <c r="T16" s="10">
        <f>T6-T14</f>
        <v>0</v>
      </c>
      <c r="U16" s="10">
        <f>U6-U14</f>
        <v>0</v>
      </c>
      <c r="V16" s="10">
        <f>V6-V14</f>
        <v>0</v>
      </c>
      <c r="W16" s="10">
        <f>W6-W14</f>
        <v>0</v>
      </c>
      <c r="X16" s="10">
        <f>X6-X14</f>
        <v>0</v>
      </c>
      <c r="Y16" s="10">
        <f>Y6-Y14</f>
        <v>0</v>
      </c>
      <c r="Z16" s="10">
        <f>Z6-Z14</f>
        <v>0</v>
      </c>
      <c r="AA16" s="10">
        <f>AA6-AA14</f>
        <v>0</v>
      </c>
      <c r="AB16" s="10">
        <f>AB6-AB14</f>
        <v>0</v>
      </c>
      <c r="AC16" s="10">
        <f>AC6-AC14</f>
        <v>0</v>
      </c>
      <c r="AD16" s="10">
        <f>AD6-AD14</f>
        <v>0</v>
      </c>
      <c r="AE16" s="10">
        <f>AE6-AE14</f>
        <v>0</v>
      </c>
      <c r="AF16" s="10">
        <f>AF6-AF14</f>
        <v>0</v>
      </c>
      <c r="AG16" s="10">
        <f>AG6-AG14</f>
        <v>0</v>
      </c>
      <c r="AH16" s="10">
        <f>AH6-AH14</f>
        <v>0</v>
      </c>
      <c r="AI16" s="10">
        <f>AI6-AI14</f>
        <v>0</v>
      </c>
      <c r="AJ16" s="10">
        <f>AJ6-AJ14</f>
        <v>0</v>
      </c>
      <c r="AK16" s="10">
        <f>AK6-AK14</f>
        <v>0</v>
      </c>
      <c r="AL16" s="10">
        <f>AL6-AL14</f>
        <v>0</v>
      </c>
      <c r="AM16" s="10">
        <f>AM6-AM14</f>
        <v>0</v>
      </c>
      <c r="AN16" s="10">
        <f>AN6-AN14</f>
        <v>0</v>
      </c>
      <c r="AO16" s="10">
        <f>AO6-AO14</f>
        <v>0</v>
      </c>
      <c r="AP16" s="10">
        <f>AP6-AP14</f>
        <v>0</v>
      </c>
      <c r="AQ16" s="10">
        <f>AQ6-AQ14</f>
        <v>0</v>
      </c>
      <c r="AR16" s="10">
        <f>AR6-AR14</f>
        <v>0</v>
      </c>
      <c r="AS16" s="10">
        <f>AS6-AS14</f>
        <v>0</v>
      </c>
      <c r="AT16" s="10">
        <f>AT6-AT14</f>
        <v>0</v>
      </c>
      <c r="AU16" s="10">
        <f>AU6-AU14</f>
        <v>0</v>
      </c>
      <c r="AV16" s="10">
        <f>AV6-AV14</f>
        <v>0</v>
      </c>
      <c r="AW16" s="10">
        <f>AW6-AW14</f>
        <v>0</v>
      </c>
      <c r="AX16" s="10">
        <f>AX6-AX14</f>
        <v>0</v>
      </c>
      <c r="AY16" s="10">
        <f>AY6-AY14</f>
        <v>0</v>
      </c>
      <c r="AZ16" s="10">
        <f>AZ6-AZ14</f>
        <v>0</v>
      </c>
      <c r="BA16" s="10">
        <f>BA6-BA14</f>
        <v>0</v>
      </c>
      <c r="BB16" s="10">
        <f>BB6-BB14</f>
        <v>0</v>
      </c>
      <c r="BC16" s="10">
        <f>BC6-BC14</f>
        <v>0</v>
      </c>
      <c r="BD16" s="10">
        <f>BD6-BD14</f>
        <v>0</v>
      </c>
      <c r="BE16" s="10">
        <f>BE6-BE14</f>
        <v>0</v>
      </c>
      <c r="BF16" s="10">
        <f>BF6-BF14</f>
        <v>0</v>
      </c>
      <c r="BG16" s="10">
        <f>BG6-BG14</f>
        <v>0</v>
      </c>
      <c r="BH16" s="10">
        <f>BH6-BH14</f>
        <v>0</v>
      </c>
      <c r="BI16" s="10">
        <f>BI6-BI14</f>
        <v>0</v>
      </c>
    </row>
    <row r="17" spans="1:61">
      <c r="A17" s="2" t="s">
        <v>64</v>
      </c>
      <c r="B17" s="11">
        <f>IFERROR(B16/B4, 0)</f>
        <v>0</v>
      </c>
      <c r="C17" s="11">
        <f>IFERROR(C16/C4, 0)</f>
        <v>0</v>
      </c>
      <c r="D17" s="11">
        <f>IFERROR(D16/D4, 0)</f>
        <v>0</v>
      </c>
      <c r="E17" s="11">
        <f>IFERROR(E16/E4, 0)</f>
        <v>0</v>
      </c>
      <c r="F17" s="11">
        <f>IFERROR(F16/F4, 0)</f>
        <v>0</v>
      </c>
      <c r="G17" s="11">
        <f>IFERROR(G16/G4, 0)</f>
        <v>0</v>
      </c>
      <c r="H17" s="11">
        <f>IFERROR(H16/H4, 0)</f>
        <v>0</v>
      </c>
      <c r="I17" s="11">
        <f>IFERROR(I16/I4, 0)</f>
        <v>0</v>
      </c>
      <c r="J17" s="11">
        <f>IFERROR(J16/J4, 0)</f>
        <v>0</v>
      </c>
      <c r="K17" s="11">
        <f>IFERROR(K16/K4, 0)</f>
        <v>0</v>
      </c>
      <c r="L17" s="11">
        <f>IFERROR(L16/L4, 0)</f>
        <v>0</v>
      </c>
      <c r="M17" s="11">
        <f>IFERROR(M16/M4, 0)</f>
        <v>0</v>
      </c>
      <c r="N17" s="11">
        <f>IFERROR(N16/N4, 0)</f>
        <v>0</v>
      </c>
      <c r="O17" s="11">
        <f>IFERROR(O16/O4, 0)</f>
        <v>0</v>
      </c>
      <c r="P17" s="11">
        <f>IFERROR(P16/P4, 0)</f>
        <v>0</v>
      </c>
      <c r="Q17" s="11">
        <f>IFERROR(Q16/Q4, 0)</f>
        <v>0</v>
      </c>
      <c r="R17" s="11">
        <f>IFERROR(R16/R4, 0)</f>
        <v>0</v>
      </c>
      <c r="S17" s="11">
        <f>IFERROR(S16/S4, 0)</f>
        <v>0</v>
      </c>
      <c r="T17" s="11">
        <f>IFERROR(T16/T4, 0)</f>
        <v>0</v>
      </c>
      <c r="U17" s="11">
        <f>IFERROR(U16/U4, 0)</f>
        <v>0</v>
      </c>
      <c r="V17" s="11">
        <f>IFERROR(V16/V4, 0)</f>
        <v>0</v>
      </c>
      <c r="W17" s="11">
        <f>IFERROR(W16/W4, 0)</f>
        <v>0</v>
      </c>
      <c r="X17" s="11">
        <f>IFERROR(X16/X4, 0)</f>
        <v>0</v>
      </c>
      <c r="Y17" s="11">
        <f>IFERROR(Y16/Y4, 0)</f>
        <v>0</v>
      </c>
      <c r="Z17" s="11">
        <f>IFERROR(Z16/Z4, 0)</f>
        <v>0</v>
      </c>
      <c r="AA17" s="11">
        <f>IFERROR(AA16/AA4, 0)</f>
        <v>0</v>
      </c>
      <c r="AB17" s="11">
        <f>IFERROR(AB16/AB4, 0)</f>
        <v>0</v>
      </c>
      <c r="AC17" s="11">
        <f>IFERROR(AC16/AC4, 0)</f>
        <v>0</v>
      </c>
      <c r="AD17" s="11">
        <f>IFERROR(AD16/AD4, 0)</f>
        <v>0</v>
      </c>
      <c r="AE17" s="11">
        <f>IFERROR(AE16/AE4, 0)</f>
        <v>0</v>
      </c>
      <c r="AF17" s="11">
        <f>IFERROR(AF16/AF4, 0)</f>
        <v>0</v>
      </c>
      <c r="AG17" s="11">
        <f>IFERROR(AG16/AG4, 0)</f>
        <v>0</v>
      </c>
      <c r="AH17" s="11">
        <f>IFERROR(AH16/AH4, 0)</f>
        <v>0</v>
      </c>
      <c r="AI17" s="11">
        <f>IFERROR(AI16/AI4, 0)</f>
        <v>0</v>
      </c>
      <c r="AJ17" s="11">
        <f>IFERROR(AJ16/AJ4, 0)</f>
        <v>0</v>
      </c>
      <c r="AK17" s="11">
        <f>IFERROR(AK16/AK4, 0)</f>
        <v>0</v>
      </c>
      <c r="AL17" s="11">
        <f>IFERROR(AL16/AL4, 0)</f>
        <v>0</v>
      </c>
      <c r="AM17" s="11">
        <f>IFERROR(AM16/AM4, 0)</f>
        <v>0</v>
      </c>
      <c r="AN17" s="11">
        <f>IFERROR(AN16/AN4, 0)</f>
        <v>0</v>
      </c>
      <c r="AO17" s="11">
        <f>IFERROR(AO16/AO4, 0)</f>
        <v>0</v>
      </c>
      <c r="AP17" s="11">
        <f>IFERROR(AP16/AP4, 0)</f>
        <v>0</v>
      </c>
      <c r="AQ17" s="11">
        <f>IFERROR(AQ16/AQ4, 0)</f>
        <v>0</v>
      </c>
      <c r="AR17" s="11">
        <f>IFERROR(AR16/AR4, 0)</f>
        <v>0</v>
      </c>
      <c r="AS17" s="11">
        <f>IFERROR(AS16/AS4, 0)</f>
        <v>0</v>
      </c>
      <c r="AT17" s="11">
        <f>IFERROR(AT16/AT4, 0)</f>
        <v>0</v>
      </c>
      <c r="AU17" s="11">
        <f>IFERROR(AU16/AU4, 0)</f>
        <v>0</v>
      </c>
      <c r="AV17" s="11">
        <f>IFERROR(AV16/AV4, 0)</f>
        <v>0</v>
      </c>
      <c r="AW17" s="11">
        <f>IFERROR(AW16/AW4, 0)</f>
        <v>0</v>
      </c>
      <c r="AX17" s="11">
        <f>IFERROR(AX16/AX4, 0)</f>
        <v>0</v>
      </c>
      <c r="AY17" s="11">
        <f>IFERROR(AY16/AY4, 0)</f>
        <v>0</v>
      </c>
      <c r="AZ17" s="11">
        <f>IFERROR(AZ16/AZ4, 0)</f>
        <v>0</v>
      </c>
      <c r="BA17" s="11">
        <f>IFERROR(BA16/BA4, 0)</f>
        <v>0</v>
      </c>
      <c r="BB17" s="11">
        <f>IFERROR(BB16/BB4, 0)</f>
        <v>0</v>
      </c>
      <c r="BC17" s="11">
        <f>IFERROR(BC16/BC4, 0)</f>
        <v>0</v>
      </c>
      <c r="BD17" s="11">
        <f>IFERROR(BD16/BD4, 0)</f>
        <v>0</v>
      </c>
      <c r="BE17" s="11">
        <f>IFERROR(BE16/BE4, 0)</f>
        <v>0</v>
      </c>
      <c r="BF17" s="11">
        <f>IFERROR(BF16/BF4, 0)</f>
        <v>0</v>
      </c>
      <c r="BG17" s="11">
        <f>IFERROR(BG16/BG4, 0)</f>
        <v>0</v>
      </c>
      <c r="BH17" s="11">
        <f>IFERROR(BH16/BH4, 0)</f>
        <v>0</v>
      </c>
      <c r="BI17" s="11">
        <f>IFERROR(BI16/BI4, 0)</f>
        <v>0</v>
      </c>
    </row>
    <row r="18" spans="1:61">
      <c r="A18" t="s">
        <v>44</v>
      </c>
      <c r="B18" s="9">
        <f>'OpEx'!C42</f>
        <v>0</v>
      </c>
      <c r="C18" s="9">
        <f>'OpEx'!D42</f>
        <v>0</v>
      </c>
      <c r="D18" s="9">
        <f>'OpEx'!E42</f>
        <v>0</v>
      </c>
      <c r="E18" s="9">
        <f>'OpEx'!F42</f>
        <v>0</v>
      </c>
      <c r="F18" s="9">
        <f>'OpEx'!G42</f>
        <v>0</v>
      </c>
      <c r="G18" s="9">
        <f>'OpEx'!H42</f>
        <v>0</v>
      </c>
      <c r="H18" s="9">
        <f>'OpEx'!I42</f>
        <v>0</v>
      </c>
      <c r="I18" s="9">
        <f>'OpEx'!J42</f>
        <v>0</v>
      </c>
      <c r="J18" s="9">
        <f>'OpEx'!K42</f>
        <v>0</v>
      </c>
      <c r="K18" s="9">
        <f>'OpEx'!L42</f>
        <v>0</v>
      </c>
      <c r="L18" s="9">
        <f>'OpEx'!M42</f>
        <v>0</v>
      </c>
      <c r="M18" s="9">
        <f>'OpEx'!N42</f>
        <v>0</v>
      </c>
      <c r="N18" s="9">
        <f>'OpEx'!O42</f>
        <v>0</v>
      </c>
      <c r="O18" s="9">
        <f>'OpEx'!P42</f>
        <v>0</v>
      </c>
      <c r="P18" s="9">
        <f>'OpEx'!Q42</f>
        <v>0</v>
      </c>
      <c r="Q18" s="9">
        <f>'OpEx'!R42</f>
        <v>0</v>
      </c>
      <c r="R18" s="9">
        <f>'OpEx'!S42</f>
        <v>0</v>
      </c>
      <c r="S18" s="9">
        <f>'OpEx'!T42</f>
        <v>0</v>
      </c>
      <c r="T18" s="9">
        <f>'OpEx'!U42</f>
        <v>0</v>
      </c>
      <c r="U18" s="9">
        <f>'OpEx'!V42</f>
        <v>0</v>
      </c>
      <c r="V18" s="9">
        <f>'OpEx'!W42</f>
        <v>0</v>
      </c>
      <c r="W18" s="9">
        <f>'OpEx'!X42</f>
        <v>0</v>
      </c>
      <c r="X18" s="9">
        <f>'OpEx'!Y42</f>
        <v>0</v>
      </c>
      <c r="Y18" s="9">
        <f>'OpEx'!Z42</f>
        <v>0</v>
      </c>
      <c r="Z18" s="9">
        <f>'OpEx'!AA42</f>
        <v>0</v>
      </c>
      <c r="AA18" s="9">
        <f>'OpEx'!AB42</f>
        <v>0</v>
      </c>
      <c r="AB18" s="9">
        <f>'OpEx'!AC42</f>
        <v>0</v>
      </c>
      <c r="AC18" s="9">
        <f>'OpEx'!AD42</f>
        <v>0</v>
      </c>
      <c r="AD18" s="9">
        <f>'OpEx'!AE42</f>
        <v>0</v>
      </c>
      <c r="AE18" s="9">
        <f>'OpEx'!AF42</f>
        <v>0</v>
      </c>
      <c r="AF18" s="9">
        <f>'OpEx'!AG42</f>
        <v>0</v>
      </c>
      <c r="AG18" s="9">
        <f>'OpEx'!AH42</f>
        <v>0</v>
      </c>
      <c r="AH18" s="9">
        <f>'OpEx'!AI42</f>
        <v>0</v>
      </c>
      <c r="AI18" s="9">
        <f>'OpEx'!AJ42</f>
        <v>0</v>
      </c>
      <c r="AJ18" s="9">
        <f>'OpEx'!AK42</f>
        <v>0</v>
      </c>
      <c r="AK18" s="9">
        <f>'OpEx'!AL42</f>
        <v>0</v>
      </c>
      <c r="AL18" s="9">
        <f>'OpEx'!AM42</f>
        <v>0</v>
      </c>
      <c r="AM18" s="9">
        <f>'OpEx'!AN42</f>
        <v>0</v>
      </c>
      <c r="AN18" s="9">
        <f>'OpEx'!AO42</f>
        <v>0</v>
      </c>
      <c r="AO18" s="9">
        <f>'OpEx'!AP42</f>
        <v>0</v>
      </c>
      <c r="AP18" s="9">
        <f>'OpEx'!AQ42</f>
        <v>0</v>
      </c>
      <c r="AQ18" s="9">
        <f>'OpEx'!AR42</f>
        <v>0</v>
      </c>
      <c r="AR18" s="9">
        <f>'OpEx'!AS42</f>
        <v>0</v>
      </c>
      <c r="AS18" s="9">
        <f>'OpEx'!AT42</f>
        <v>0</v>
      </c>
      <c r="AT18" s="9">
        <f>'OpEx'!AU42</f>
        <v>0</v>
      </c>
      <c r="AU18" s="9">
        <f>'OpEx'!AV42</f>
        <v>0</v>
      </c>
      <c r="AV18" s="9">
        <f>'OpEx'!AW42</f>
        <v>0</v>
      </c>
      <c r="AW18" s="9">
        <f>'OpEx'!AX42</f>
        <v>0</v>
      </c>
      <c r="AX18" s="9">
        <f>'OpEx'!AY42</f>
        <v>0</v>
      </c>
      <c r="AY18" s="9">
        <f>'OpEx'!AZ42</f>
        <v>0</v>
      </c>
      <c r="AZ18" s="9">
        <f>'OpEx'!BA42</f>
        <v>0</v>
      </c>
      <c r="BA18" s="9">
        <f>'OpEx'!BB42</f>
        <v>0</v>
      </c>
      <c r="BB18" s="9">
        <f>'OpEx'!BC42</f>
        <v>0</v>
      </c>
      <c r="BC18" s="9">
        <f>'OpEx'!BD42</f>
        <v>0</v>
      </c>
      <c r="BD18" s="9">
        <f>'OpEx'!BE42</f>
        <v>0</v>
      </c>
      <c r="BE18" s="9">
        <f>'OpEx'!BF42</f>
        <v>0</v>
      </c>
      <c r="BF18" s="9">
        <f>'OpEx'!BG42</f>
        <v>0</v>
      </c>
      <c r="BG18" s="9">
        <f>'OpEx'!BH42</f>
        <v>0</v>
      </c>
      <c r="BH18" s="9">
        <f>'OpEx'!BI42</f>
        <v>0</v>
      </c>
      <c r="BI18" s="9">
        <f>'OpEx'!BJ42</f>
        <v>0</v>
      </c>
    </row>
    <row r="19" spans="1:61">
      <c r="A19" s="2" t="s">
        <v>65</v>
      </c>
      <c r="B19" s="10">
        <f>B16-B18</f>
        <v>0</v>
      </c>
      <c r="C19" s="10">
        <f>C16-C18</f>
        <v>0</v>
      </c>
      <c r="D19" s="10">
        <f>D16-D18</f>
        <v>0</v>
      </c>
      <c r="E19" s="10">
        <f>E16-E18</f>
        <v>0</v>
      </c>
      <c r="F19" s="10">
        <f>F16-F18</f>
        <v>0</v>
      </c>
      <c r="G19" s="10">
        <f>G16-G18</f>
        <v>0</v>
      </c>
      <c r="H19" s="10">
        <f>H16-H18</f>
        <v>0</v>
      </c>
      <c r="I19" s="10">
        <f>I16-I18</f>
        <v>0</v>
      </c>
      <c r="J19" s="10">
        <f>J16-J18</f>
        <v>0</v>
      </c>
      <c r="K19" s="10">
        <f>K16-K18</f>
        <v>0</v>
      </c>
      <c r="L19" s="10">
        <f>L16-L18</f>
        <v>0</v>
      </c>
      <c r="M19" s="10">
        <f>M16-M18</f>
        <v>0</v>
      </c>
      <c r="N19" s="10">
        <f>N16-N18</f>
        <v>0</v>
      </c>
      <c r="O19" s="10">
        <f>O16-O18</f>
        <v>0</v>
      </c>
      <c r="P19" s="10">
        <f>P16-P18</f>
        <v>0</v>
      </c>
      <c r="Q19" s="10">
        <f>Q16-Q18</f>
        <v>0</v>
      </c>
      <c r="R19" s="10">
        <f>R16-R18</f>
        <v>0</v>
      </c>
      <c r="S19" s="10">
        <f>S16-S18</f>
        <v>0</v>
      </c>
      <c r="T19" s="10">
        <f>T16-T18</f>
        <v>0</v>
      </c>
      <c r="U19" s="10">
        <f>U16-U18</f>
        <v>0</v>
      </c>
      <c r="V19" s="10">
        <f>V16-V18</f>
        <v>0</v>
      </c>
      <c r="W19" s="10">
        <f>W16-W18</f>
        <v>0</v>
      </c>
      <c r="X19" s="10">
        <f>X16-X18</f>
        <v>0</v>
      </c>
      <c r="Y19" s="10">
        <f>Y16-Y18</f>
        <v>0</v>
      </c>
      <c r="Z19" s="10">
        <f>Z16-Z18</f>
        <v>0</v>
      </c>
      <c r="AA19" s="10">
        <f>AA16-AA18</f>
        <v>0</v>
      </c>
      <c r="AB19" s="10">
        <f>AB16-AB18</f>
        <v>0</v>
      </c>
      <c r="AC19" s="10">
        <f>AC16-AC18</f>
        <v>0</v>
      </c>
      <c r="AD19" s="10">
        <f>AD16-AD18</f>
        <v>0</v>
      </c>
      <c r="AE19" s="10">
        <f>AE16-AE18</f>
        <v>0</v>
      </c>
      <c r="AF19" s="10">
        <f>AF16-AF18</f>
        <v>0</v>
      </c>
      <c r="AG19" s="10">
        <f>AG16-AG18</f>
        <v>0</v>
      </c>
      <c r="AH19" s="10">
        <f>AH16-AH18</f>
        <v>0</v>
      </c>
      <c r="AI19" s="10">
        <f>AI16-AI18</f>
        <v>0</v>
      </c>
      <c r="AJ19" s="10">
        <f>AJ16-AJ18</f>
        <v>0</v>
      </c>
      <c r="AK19" s="10">
        <f>AK16-AK18</f>
        <v>0</v>
      </c>
      <c r="AL19" s="10">
        <f>AL16-AL18</f>
        <v>0</v>
      </c>
      <c r="AM19" s="10">
        <f>AM16-AM18</f>
        <v>0</v>
      </c>
      <c r="AN19" s="10">
        <f>AN16-AN18</f>
        <v>0</v>
      </c>
      <c r="AO19" s="10">
        <f>AO16-AO18</f>
        <v>0</v>
      </c>
      <c r="AP19" s="10">
        <f>AP16-AP18</f>
        <v>0</v>
      </c>
      <c r="AQ19" s="10">
        <f>AQ16-AQ18</f>
        <v>0</v>
      </c>
      <c r="AR19" s="10">
        <f>AR16-AR18</f>
        <v>0</v>
      </c>
      <c r="AS19" s="10">
        <f>AS16-AS18</f>
        <v>0</v>
      </c>
      <c r="AT19" s="10">
        <f>AT16-AT18</f>
        <v>0</v>
      </c>
      <c r="AU19" s="10">
        <f>AU16-AU18</f>
        <v>0</v>
      </c>
      <c r="AV19" s="10">
        <f>AV16-AV18</f>
        <v>0</v>
      </c>
      <c r="AW19" s="10">
        <f>AW16-AW18</f>
        <v>0</v>
      </c>
      <c r="AX19" s="10">
        <f>AX16-AX18</f>
        <v>0</v>
      </c>
      <c r="AY19" s="10">
        <f>AY16-AY18</f>
        <v>0</v>
      </c>
      <c r="AZ19" s="10">
        <f>AZ16-AZ18</f>
        <v>0</v>
      </c>
      <c r="BA19" s="10">
        <f>BA16-BA18</f>
        <v>0</v>
      </c>
      <c r="BB19" s="10">
        <f>BB16-BB18</f>
        <v>0</v>
      </c>
      <c r="BC19" s="10">
        <f>BC16-BC18</f>
        <v>0</v>
      </c>
      <c r="BD19" s="10">
        <f>BD16-BD18</f>
        <v>0</v>
      </c>
      <c r="BE19" s="10">
        <f>BE16-BE18</f>
        <v>0</v>
      </c>
      <c r="BF19" s="10">
        <f>BF16-BF18</f>
        <v>0</v>
      </c>
      <c r="BG19" s="10">
        <f>BG16-BG18</f>
        <v>0</v>
      </c>
      <c r="BH19" s="10">
        <f>BH16-BH18</f>
        <v>0</v>
      </c>
      <c r="BI19" s="10">
        <f>BI16-BI18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25.7109375" customWidth="1"/>
    <col min="2" max="7" width="15.7109375" customWidth="1"/>
    <col min="9" max="13" width="80.7109375" customWidth="1"/>
  </cols>
  <sheetData>
    <row r="1" spans="1:9">
      <c r="A1" s="1" t="s">
        <v>66</v>
      </c>
    </row>
    <row r="3" spans="1:9">
      <c r="A3" s="2" t="s">
        <v>67</v>
      </c>
      <c r="B3" s="6">
        <v>45292</v>
      </c>
    </row>
    <row r="4" spans="1:9">
      <c r="I4" s="2" t="s">
        <v>74</v>
      </c>
    </row>
    <row r="5" spans="1:9">
      <c r="A5" s="7" t="s">
        <v>68</v>
      </c>
      <c r="B5" s="7" t="s">
        <v>36</v>
      </c>
      <c r="C5" s="7" t="s">
        <v>69</v>
      </c>
      <c r="D5" s="7" t="s">
        <v>70</v>
      </c>
      <c r="E5" s="7" t="s">
        <v>71</v>
      </c>
      <c r="F5" s="7" t="s">
        <v>72</v>
      </c>
      <c r="G5" s="7" t="s">
        <v>73</v>
      </c>
      <c r="H5" s="7" t="s">
        <v>71</v>
      </c>
    </row>
    <row r="6" spans="1:9">
      <c r="A6" t="s">
        <v>61</v>
      </c>
      <c r="B6" s="8">
        <f>HLOOKUP($B$3, 'P&amp;L Summary'!$B$2:$ZZ$100, 3, FALSE)</f>
        <v>0</v>
      </c>
      <c r="C6" s="9">
        <f>HLOOKUP($B$3, 'P&amp;L Summary'!$B$2:$ZZ$100, 3, FALSE) * 1.05</f>
        <v>0</v>
      </c>
      <c r="D6" s="9">
        <f>(1)*(B6-C6)</f>
        <v>0</v>
      </c>
      <c r="E6" s="4">
        <f>IFERROR(D6/C6, 0)</f>
        <v>0</v>
      </c>
      <c r="F6" s="9">
        <f>HLOOKUP(EDATE($B$3,-12), 'P&amp;L Summary'!$B$2:$ZZ$100, 3, FALSE)</f>
        <v>0</v>
      </c>
      <c r="G6" s="9">
        <f>(1)*(B6-F6)</f>
        <v>0</v>
      </c>
      <c r="H6" s="4">
        <f>IFERROR(G6/F6, 0)</f>
        <v>0</v>
      </c>
      <c r="I6" s="12">
        <f>IF(D6&gt;=0, "🟢 Favorable: Revenue exceeded budget by "&amp;TEXT(D6,"$#,##0")&amp;" ("&amp;TEXT(E6,"0.0%")&amp;"), driven by outperformance in base units.", "🔴 Unfavorable: Revenue missed budget by "&amp;TEXT(ABS(D6),"$#,##0")&amp;" ("&amp;TEXT(E6,"0.0%")&amp;"). Review unit traffic.")</f>
        <v>0</v>
      </c>
    </row>
    <row r="7" spans="1:9">
      <c r="A7" t="s">
        <v>39</v>
      </c>
      <c r="B7" s="8">
        <f>HLOOKUP($B$3, 'P&amp;L Summary'!$B$2:$ZZ$100, 4, FALSE)</f>
        <v>0</v>
      </c>
      <c r="C7" s="9">
        <f>HLOOKUP($B$3, 'P&amp;L Summary'!$B$2:$ZZ$100, 4, FALSE) * 1.05</f>
        <v>0</v>
      </c>
      <c r="D7" s="9">
        <f>(-1)*(B7-C7)</f>
        <v>0</v>
      </c>
      <c r="E7" s="4">
        <f>IFERROR(D7/C7, 0)</f>
        <v>0</v>
      </c>
      <c r="F7" s="9">
        <f>HLOOKUP(EDATE($B$3,-12), 'P&amp;L Summary'!$B$2:$ZZ$100, 4, FALSE)</f>
        <v>0</v>
      </c>
      <c r="G7" s="9">
        <f>(-1)*(B7-F7)</f>
        <v>0</v>
      </c>
      <c r="H7" s="4">
        <f>IFERROR(G7/F7, 0)</f>
        <v>0</v>
      </c>
    </row>
    <row r="8" spans="1:9">
      <c r="A8" t="s">
        <v>62</v>
      </c>
      <c r="B8" s="8">
        <f>HLOOKUP($B$3, 'P&amp;L Summary'!$B$2:$ZZ$100, 5, FALSE)</f>
        <v>0</v>
      </c>
      <c r="C8" s="9">
        <f>HLOOKUP($B$3, 'P&amp;L Summary'!$B$2:$ZZ$100, 5, FALSE) * 1.05</f>
        <v>0</v>
      </c>
      <c r="D8" s="9">
        <f>(1)*(B8-C8)</f>
        <v>0</v>
      </c>
      <c r="E8" s="4">
        <f>IFERROR(D8/C8, 0)</f>
        <v>0</v>
      </c>
      <c r="F8" s="9">
        <f>HLOOKUP(EDATE($B$3,-12), 'P&amp;L Summary'!$B$2:$ZZ$100, 5, FALSE)</f>
        <v>0</v>
      </c>
      <c r="G8" s="9">
        <f>(1)*(B8-F8)</f>
        <v>0</v>
      </c>
      <c r="H8" s="4">
        <f>IFERROR(G8/F8, 0)</f>
        <v>0</v>
      </c>
    </row>
    <row r="9" spans="1:9">
      <c r="A9" t="s">
        <v>59</v>
      </c>
      <c r="B9" s="8">
        <f>HLOOKUP($B$3, 'P&amp;L Summary'!$B$2:$ZZ$100, 13, FALSE)</f>
        <v>0</v>
      </c>
      <c r="C9" s="9">
        <f>HLOOKUP($B$3, 'P&amp;L Summary'!$B$2:$ZZ$100, 13, FALSE) * 1.05</f>
        <v>0</v>
      </c>
      <c r="D9" s="9">
        <f>(-1)*(B9-C9)</f>
        <v>0</v>
      </c>
      <c r="E9" s="4">
        <f>IFERROR(D9/C9, 0)</f>
        <v>0</v>
      </c>
      <c r="F9" s="9">
        <f>HLOOKUP(EDATE($B$3,-12), 'P&amp;L Summary'!$B$2:$ZZ$100, 13, FALSE)</f>
        <v>0</v>
      </c>
      <c r="G9" s="9">
        <f>(-1)*(B9-F9)</f>
        <v>0</v>
      </c>
      <c r="H9" s="4">
        <f>IFERROR(G9/F9, 0)</f>
        <v>0</v>
      </c>
    </row>
    <row r="10" spans="1:9">
      <c r="A10" t="s">
        <v>63</v>
      </c>
      <c r="B10" s="8">
        <f>HLOOKUP($B$3, 'P&amp;L Summary'!$B$2:$ZZ$100, 15, FALSE)</f>
        <v>0</v>
      </c>
      <c r="C10" s="9">
        <f>HLOOKUP($B$3, 'P&amp;L Summary'!$B$2:$ZZ$100, 15, FALSE) * 1.05</f>
        <v>0</v>
      </c>
      <c r="D10" s="9">
        <f>(1)*(B10-C10)</f>
        <v>0</v>
      </c>
      <c r="E10" s="4">
        <f>IFERROR(D10/C10, 0)</f>
        <v>0</v>
      </c>
      <c r="F10" s="9">
        <f>HLOOKUP(EDATE($B$3,-12), 'P&amp;L Summary'!$B$2:$ZZ$100, 15, FALSE)</f>
        <v>0</v>
      </c>
      <c r="G10" s="9">
        <f>(1)*(B10-F10)</f>
        <v>0</v>
      </c>
      <c r="H10" s="4">
        <f>IFERROR(G10/F10, 0)</f>
        <v>0</v>
      </c>
      <c r="I10" s="12">
        <f>IF(D10&gt;=0, "🟢 Favorable: EBITDA is ahead of budget by "&amp;TEXT(D10,"$#,##0")&amp;" due to tight OpEx control.", "🔴 Unfavorable: EBITDA underperformed by "&amp;TEXT(ABS(D10),"$#,##0")&amp;". Consider cost optimization options.")</f>
        <v>0</v>
      </c>
    </row>
    <row r="11" spans="1:9">
      <c r="A11" t="s">
        <v>65</v>
      </c>
      <c r="B11" s="8">
        <f>HLOOKUP($B$3, 'P&amp;L Summary'!$B$2:$ZZ$100, 18, FALSE)</f>
        <v>0</v>
      </c>
      <c r="C11" s="9">
        <f>HLOOKUP($B$3, 'P&amp;L Summary'!$B$2:$ZZ$100, 18, FALSE) * 1.05</f>
        <v>0</v>
      </c>
      <c r="D11" s="9">
        <f>(1)*(B11-C11)</f>
        <v>0</v>
      </c>
      <c r="E11" s="4">
        <f>IFERROR(D11/C11, 0)</f>
        <v>0</v>
      </c>
      <c r="F11" s="9">
        <f>HLOOKUP(EDATE($B$3,-12), 'P&amp;L Summary'!$B$2:$ZZ$100, 18, FALSE)</f>
        <v>0</v>
      </c>
      <c r="G11" s="9">
        <f>(1)*(B11-F11)</f>
        <v>0</v>
      </c>
      <c r="H11" s="4">
        <f>IFERROR(G11/F11, 0)</f>
        <v>0</v>
      </c>
    </row>
  </sheetData>
  <conditionalFormatting sqref="D6:D11">
    <cfRule type="cellIs" dxfId="0" priority="1" operator="greaterThanOrEqual">
      <formula>0</formula>
    </cfRule>
    <cfRule type="cellIs" dxfId="1" priority="2" operator="lessThan">
      <formula>0</formula>
    </cfRule>
  </conditionalFormatting>
  <conditionalFormatting sqref="E6:E11">
    <cfRule type="cellIs" dxfId="0" priority="3" operator="greaterThanOrEqual">
      <formula>0</formula>
    </cfRule>
    <cfRule type="cellIs" dxfId="1" priority="4" operator="lessThan">
      <formula>0</formula>
    </cfRule>
  </conditionalFormatting>
  <dataValidations count="1">
    <dataValidation type="list" allowBlank="1" showInputMessage="1" showErrorMessage="1" sqref="B3">
      <formula1>'P&amp;L Summary'!$B$1:$BI$1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1" t="s">
        <v>75</v>
      </c>
    </row>
    <row r="3" spans="1:3">
      <c r="A3" s="7" t="s">
        <v>76</v>
      </c>
      <c r="B3" s="7" t="s">
        <v>77</v>
      </c>
      <c r="C3" s="7" t="s">
        <v>78</v>
      </c>
    </row>
    <row r="4" spans="1:3">
      <c r="A4" t="s">
        <v>79</v>
      </c>
      <c r="B4" s="13">
        <f>IF(ABS(C4)&lt;1, "Pass", "FAIL")</f>
        <v>0</v>
      </c>
      <c r="C4" s="9">
        <f>SUM('Revenue Forecast'!B9:ZZ9)-SUM('Revenue Forecast'!B4:ZZ8)</f>
        <v>0</v>
      </c>
    </row>
    <row r="5" spans="1:3">
      <c r="A5" t="s">
        <v>80</v>
      </c>
      <c r="B5" s="13">
        <f>IF(ABS(C5)&lt;1, "Pass", "FAIL")</f>
        <v>0</v>
      </c>
      <c r="C5" s="9">
        <f>SUM('COGS &amp; Gross Margin'!B9:ZZ9) - (SUM('Revenue Forecast'!B9:ZZ9)*Driver_COGS)</f>
        <v>0</v>
      </c>
    </row>
    <row r="8" spans="1:3">
      <c r="A8" s="1" t="s">
        <v>81</v>
      </c>
    </row>
    <row r="10" spans="1:3">
      <c r="A10" t="s">
        <v>82</v>
      </c>
    </row>
    <row r="11" spans="1:3">
      <c r="A11" t="s">
        <v>83</v>
      </c>
      <c r="B11" s="5">
        <v>0.045</v>
      </c>
      <c r="C11" s="13" t="s">
        <v>84</v>
      </c>
    </row>
  </sheetData>
  <conditionalFormatting sqref="B4">
    <cfRule type="cellIs" dxfId="0" priority="1" operator="equal">
      <formula>"Pass"</formula>
    </cfRule>
    <cfRule type="cellIs" dxfId="1" priority="2" operator="equal">
      <formula>"FAIL"</formula>
    </cfRule>
  </conditionalFormatting>
  <conditionalFormatting sqref="B5">
    <cfRule type="cellIs" dxfId="0" priority="3" operator="equal">
      <formula>"Pass"</formula>
    </cfRule>
    <cfRule type="cellIs" dxfId="1" priority="4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25</vt:i4>
      </vt:variant>
    </vt:vector>
  </HeadingPairs>
  <TitlesOfParts>
    <vt:vector size="33" baseType="lpstr">
      <vt:lpstr>Assumptions</vt:lpstr>
      <vt:lpstr>Historical Data</vt:lpstr>
      <vt:lpstr>Revenue Forecast</vt:lpstr>
      <vt:lpstr>COGS &amp; Gross Margin</vt:lpstr>
      <vt:lpstr>OpEx</vt:lpstr>
      <vt:lpstr>P&amp;L Summary</vt:lpstr>
      <vt:lpstr>Variance Analysis</vt:lpstr>
      <vt:lpstr>Model Audit</vt:lpstr>
      <vt:lpstr>ActiveScenario</vt:lpstr>
      <vt:lpstr>Driver_COGS</vt:lpstr>
      <vt:lpstr>Driver_Marketing</vt:lpstr>
      <vt:lpstr>Driver_OtherOpEx</vt:lpstr>
      <vt:lpstr>Driver_Payroll</vt:lpstr>
      <vt:lpstr>Driver_Utilities</vt:lpstr>
      <vt:lpstr>Rent_Escalation</vt:lpstr>
      <vt:lpstr>ScenarioMult</vt:lpstr>
      <vt:lpstr>Seasonality_Apr</vt:lpstr>
      <vt:lpstr>Seasonality_Aug</vt:lpstr>
      <vt:lpstr>Seasonality_Dec</vt:lpstr>
      <vt:lpstr>Seasonality_Feb</vt:lpstr>
      <vt:lpstr>Seasonality_Jan</vt:lpstr>
      <vt:lpstr>Seasonality_Jul</vt:lpstr>
      <vt:lpstr>Seasonality_Jun</vt:lpstr>
      <vt:lpstr>Seasonality_Mar</vt:lpstr>
      <vt:lpstr>Seasonality_May</vt:lpstr>
      <vt:lpstr>Seasonality_Nov</vt:lpstr>
      <vt:lpstr>Seasonality_Oct</vt:lpstr>
      <vt:lpstr>Seasonality_Sep</vt:lpstr>
      <vt:lpstr>Unit1_Growth</vt:lpstr>
      <vt:lpstr>Unit2_Growth</vt:lpstr>
      <vt:lpstr>Unit3_Growth</vt:lpstr>
      <vt:lpstr>Unit4_Growth</vt:lpstr>
      <vt:lpstr>Unit5_Growth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2026-03-15T19:01:33Z</dcterms:created>
  <dcterms:modified xsi:type="dcterms:W3CDTF">2026-03-15T19:01:33Z</dcterms:modified>
</cp:coreProperties>
</file>